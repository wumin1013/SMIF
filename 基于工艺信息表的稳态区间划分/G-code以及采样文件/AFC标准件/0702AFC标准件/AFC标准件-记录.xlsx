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01"/>
  <workbookPr/>
  <mc:AlternateContent xmlns:mc="http://schemas.openxmlformats.org/markup-compatibility/2006">
    <mc:Choice Requires="x15">
      <x15ac:absPath xmlns:x15ac="http://schemas.microsoft.com/office/spreadsheetml/2010/11/ac" url="C:\Users\wu\Desktop\鄂州AFC测试\AFC标准件0702\"/>
    </mc:Choice>
  </mc:AlternateContent>
  <xr:revisionPtr revIDLastSave="0" documentId="13_ncr:1_{6BC568C0-1391-4739-ACAA-3AD87AFEBE9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3号4号" sheetId="5" r:id="rId1"/>
    <sheet name="3号" sheetId="1" r:id="rId2"/>
    <sheet name="波形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F10" i="1"/>
  <c r="E10" i="1" s="1"/>
  <c r="F9" i="1"/>
  <c r="E9" i="1" s="1"/>
  <c r="F5" i="1"/>
  <c r="E5" i="1" s="1"/>
  <c r="F4" i="1"/>
  <c r="E3" i="4"/>
  <c r="E4" i="4"/>
  <c r="E5" i="4"/>
  <c r="E6" i="4"/>
  <c r="E2" i="4"/>
  <c r="D3" i="4"/>
  <c r="D4" i="4"/>
  <c r="D5" i="4"/>
  <c r="D6" i="4"/>
  <c r="D2" i="4"/>
  <c r="J18" i="5"/>
  <c r="H18" i="5"/>
  <c r="F18" i="5"/>
  <c r="D18" i="5"/>
  <c r="B18" i="5"/>
  <c r="H9" i="5"/>
  <c r="G9" i="5"/>
  <c r="F9" i="5"/>
  <c r="H8" i="5"/>
  <c r="G8" i="5"/>
  <c r="F8" i="5"/>
</calcChain>
</file>

<file path=xl/sharedStrings.xml><?xml version="1.0" encoding="utf-8"?>
<sst xmlns="http://schemas.openxmlformats.org/spreadsheetml/2006/main" count="99" uniqueCount="49">
  <si>
    <t>修调</t>
  </si>
  <si>
    <t>提升时间</t>
  </si>
  <si>
    <t>效率提升百分比</t>
  </si>
  <si>
    <t>样本编号</t>
  </si>
  <si>
    <t>正负标志</t>
    <phoneticPr fontId="1" type="noConversion"/>
  </si>
  <si>
    <t>负载电流均值</t>
    <phoneticPr fontId="1" type="noConversion"/>
  </si>
  <si>
    <t>/</t>
    <phoneticPr fontId="1" type="noConversion"/>
  </si>
  <si>
    <t>加工时间</t>
    <phoneticPr fontId="1" type="noConversion"/>
  </si>
  <si>
    <t>正样本</t>
    <phoneticPr fontId="1" type="noConversion"/>
  </si>
  <si>
    <t>3号机</t>
    <phoneticPr fontId="1" type="noConversion"/>
  </si>
  <si>
    <t>4号机</t>
    <phoneticPr fontId="1" type="noConversion"/>
  </si>
  <si>
    <t>机床</t>
    <phoneticPr fontId="1" type="noConversion"/>
  </si>
  <si>
    <t>AFC标准件</t>
    <phoneticPr fontId="1" type="noConversion"/>
  </si>
  <si>
    <t>AFC2_20250702154507</t>
    <phoneticPr fontId="1" type="noConversion"/>
  </si>
  <si>
    <t>AFC2_20250702160425</t>
    <phoneticPr fontId="1" type="noConversion"/>
  </si>
  <si>
    <t>AFC2_20250702162339</t>
    <phoneticPr fontId="1" type="noConversion"/>
  </si>
  <si>
    <t>AFC2_20250702163404</t>
    <phoneticPr fontId="1" type="noConversion"/>
  </si>
  <si>
    <t>AFC2_20250702165357</t>
    <phoneticPr fontId="1" type="noConversion"/>
  </si>
  <si>
    <t>AFC2_20250702165313</t>
    <phoneticPr fontId="1" type="noConversion"/>
  </si>
  <si>
    <t>AFC_DONE_20250702171559</t>
    <phoneticPr fontId="1" type="noConversion"/>
  </si>
  <si>
    <t>AFC_DONE_20250702182049</t>
    <phoneticPr fontId="1" type="noConversion"/>
  </si>
  <si>
    <t>3号机床（SN:37E9157C372BAE0）
4号机床（SN:1JV6UL0TPTNPSJ0）</t>
    <phoneticPr fontId="1" type="noConversion"/>
  </si>
  <si>
    <t>未优化</t>
    <phoneticPr fontId="1" type="noConversion"/>
  </si>
  <si>
    <t>9min22s</t>
    <phoneticPr fontId="1" type="noConversion"/>
  </si>
  <si>
    <t>8min16s</t>
    <phoneticPr fontId="1" type="noConversion"/>
  </si>
  <si>
    <t>7min38s</t>
    <phoneticPr fontId="1" type="noConversion"/>
  </si>
  <si>
    <t>8min14s</t>
    <phoneticPr fontId="1" type="noConversion"/>
  </si>
  <si>
    <t>功率均值</t>
    <phoneticPr fontId="1" type="noConversion"/>
  </si>
  <si>
    <t>3号</t>
    <phoneticPr fontId="1" type="noConversion"/>
  </si>
  <si>
    <t>4号</t>
    <phoneticPr fontId="1" type="noConversion"/>
  </si>
  <si>
    <t>负载电流</t>
    <phoneticPr fontId="1" type="noConversion"/>
  </si>
  <si>
    <t>友机边缘模块功率</t>
    <phoneticPr fontId="1" type="noConversion"/>
  </si>
  <si>
    <t>型腔件</t>
    <phoneticPr fontId="1" type="noConversion"/>
  </si>
  <si>
    <t>3C手机壳</t>
    <phoneticPr fontId="1" type="noConversion"/>
  </si>
  <si>
    <r>
      <t>载入</t>
    </r>
    <r>
      <rPr>
        <sz val="10.5"/>
        <color theme="1"/>
        <rFont val="Calibri"/>
        <family val="2"/>
      </rPr>
      <t>I</t>
    </r>
    <r>
      <rPr>
        <sz val="10.5"/>
        <color theme="1"/>
        <rFont val="宋体"/>
        <family val="3"/>
        <charset val="134"/>
      </rPr>
      <t>代码首次运行</t>
    </r>
    <phoneticPr fontId="1" type="noConversion"/>
  </si>
  <si>
    <t>载入I代码首次运行</t>
    <phoneticPr fontId="1" type="noConversion"/>
  </si>
  <si>
    <t>第一次迭代优化</t>
    <phoneticPr fontId="1" type="noConversion"/>
  </si>
  <si>
    <t>第二次迭代优化</t>
    <phoneticPr fontId="1" type="noConversion"/>
  </si>
  <si>
    <t>第三次迭代优化（优化完成）</t>
    <phoneticPr fontId="1" type="noConversion"/>
  </si>
  <si>
    <t>3号机床/4号机床负载电流均值提升对比</t>
  </si>
  <si>
    <t>G代码程序</t>
  </si>
  <si>
    <t>机床</t>
  </si>
  <si>
    <t>未优化</t>
  </si>
  <si>
    <t>优化完成</t>
  </si>
  <si>
    <t>提升百分比</t>
  </si>
  <si>
    <t>OAFC2.NC</t>
  </si>
  <si>
    <t>3号机床</t>
  </si>
  <si>
    <t>4号机床</t>
  </si>
  <si>
    <t>3号机床/4号机床功率均值提升对比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</si>
</sst>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%"/>
    <numFmt numFmtId="177" formatCode="0.0%"/>
  </numFmts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sz val="10.5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0.5"/>
      <color theme="1"/>
      <name val="Calibri"/>
      <family val="2"/>
    </font>
    <font>
      <sz val="11"/>
      <color rgb="FF000000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sz val="10.5"/>
      <color rgb="FF000000"/>
      <name val="宋体"/>
      <family val="3"/>
      <charset val="134"/>
    </font>
    <font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176" fontId="0" fillId="0" borderId="0" xfId="0" applyNumberFormat="1"/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0" fontId="0" fillId="0" borderId="0" xfId="0" applyNumberFormat="1"/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10" fontId="3" fillId="0" borderId="5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8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05C75-483C-4943-9299-C09ABB47B0DA}">
  <dimension ref="A1:K18"/>
  <sheetViews>
    <sheetView tabSelected="1" workbookViewId="0">
      <selection activeCell="F6" sqref="F6"/>
    </sheetView>
  </sheetViews>
  <sheetFormatPr defaultRowHeight="14" x14ac:dyDescent="0.3"/>
  <cols>
    <col min="2" max="11" width="12.58203125" customWidth="1"/>
  </cols>
  <sheetData>
    <row r="1" spans="1:11" ht="46.5" customHeight="1" x14ac:dyDescent="0.3">
      <c r="A1" s="18" t="s">
        <v>21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1" ht="29.5" customHeight="1" x14ac:dyDescent="0.3">
      <c r="A2" s="3"/>
      <c r="B2" s="20" t="s">
        <v>22</v>
      </c>
      <c r="C2" s="20"/>
      <c r="D2" s="20" t="s">
        <v>34</v>
      </c>
      <c r="E2" s="20"/>
      <c r="F2" s="20" t="s">
        <v>36</v>
      </c>
      <c r="G2" s="20"/>
      <c r="H2" s="20" t="s">
        <v>37</v>
      </c>
      <c r="I2" s="20"/>
      <c r="J2" s="20" t="s">
        <v>38</v>
      </c>
      <c r="K2" s="20"/>
    </row>
    <row r="3" spans="1:11" ht="29.5" customHeight="1" x14ac:dyDescent="0.3">
      <c r="A3" s="3" t="s">
        <v>11</v>
      </c>
      <c r="B3" s="1" t="s">
        <v>9</v>
      </c>
      <c r="C3" s="1" t="s">
        <v>10</v>
      </c>
      <c r="D3" s="1" t="s">
        <v>9</v>
      </c>
      <c r="E3" s="1" t="s">
        <v>10</v>
      </c>
      <c r="F3" s="1" t="s">
        <v>9</v>
      </c>
      <c r="G3" s="1" t="s">
        <v>10</v>
      </c>
      <c r="H3" s="1" t="s">
        <v>9</v>
      </c>
      <c r="I3" s="1" t="s">
        <v>10</v>
      </c>
      <c r="J3" s="1" t="s">
        <v>9</v>
      </c>
      <c r="K3" s="1" t="s">
        <v>10</v>
      </c>
    </row>
    <row r="4" spans="1:11" ht="29.5" customHeight="1" x14ac:dyDescent="0.3">
      <c r="A4" s="1" t="s">
        <v>0</v>
      </c>
      <c r="B4" s="3">
        <v>100</v>
      </c>
      <c r="C4" s="3">
        <v>100</v>
      </c>
      <c r="D4" s="3">
        <v>100</v>
      </c>
      <c r="E4" s="3">
        <v>100</v>
      </c>
      <c r="F4" s="3">
        <v>125</v>
      </c>
      <c r="G4" s="3">
        <v>125</v>
      </c>
      <c r="H4" s="3">
        <v>150</v>
      </c>
      <c r="I4" s="3">
        <v>150</v>
      </c>
      <c r="J4" s="3">
        <v>150</v>
      </c>
      <c r="K4" s="3">
        <v>150</v>
      </c>
    </row>
    <row r="5" spans="1:11" ht="29.5" customHeight="1" x14ac:dyDescent="0.3">
      <c r="A5" s="1" t="s">
        <v>27</v>
      </c>
      <c r="B5" s="3">
        <v>817</v>
      </c>
      <c r="C5" s="3">
        <v>786</v>
      </c>
      <c r="D5" s="3">
        <v>887</v>
      </c>
      <c r="E5" s="3">
        <v>777</v>
      </c>
      <c r="F5" s="3">
        <v>949</v>
      </c>
      <c r="G5" s="3">
        <v>839</v>
      </c>
      <c r="H5" s="3">
        <v>983</v>
      </c>
      <c r="I5" s="3">
        <v>897</v>
      </c>
      <c r="J5" s="3">
        <v>987</v>
      </c>
      <c r="K5" s="3">
        <v>868</v>
      </c>
    </row>
    <row r="6" spans="1:11" ht="29.5" customHeight="1" x14ac:dyDescent="0.3">
      <c r="A6" s="1" t="s">
        <v>5</v>
      </c>
      <c r="B6" s="3">
        <v>1.2829999999999999</v>
      </c>
      <c r="C6" s="3">
        <v>1.244</v>
      </c>
      <c r="D6" s="3">
        <v>1.3425</v>
      </c>
      <c r="E6" s="3">
        <v>1.2270000000000001</v>
      </c>
      <c r="F6" s="3">
        <v>1.4902</v>
      </c>
      <c r="G6" s="3">
        <v>1.3513999999999999</v>
      </c>
      <c r="H6" s="3">
        <v>1.5691999999999999</v>
      </c>
      <c r="I6" s="3">
        <v>1.4617</v>
      </c>
      <c r="J6" s="3">
        <v>1.5827</v>
      </c>
      <c r="K6" s="3">
        <v>1.4040999999999999</v>
      </c>
    </row>
    <row r="7" spans="1:11" ht="29.5" customHeight="1" x14ac:dyDescent="0.3">
      <c r="A7" s="1" t="s">
        <v>7</v>
      </c>
      <c r="B7" s="3" t="s">
        <v>23</v>
      </c>
      <c r="C7" s="3" t="s">
        <v>23</v>
      </c>
      <c r="D7" s="3" t="s">
        <v>23</v>
      </c>
      <c r="E7" s="3" t="s">
        <v>23</v>
      </c>
      <c r="F7" s="3" t="s">
        <v>24</v>
      </c>
      <c r="G7" s="3" t="s">
        <v>26</v>
      </c>
      <c r="H7" s="3" t="s">
        <v>25</v>
      </c>
      <c r="I7" s="3" t="s">
        <v>25</v>
      </c>
      <c r="J7" s="3" t="s">
        <v>25</v>
      </c>
      <c r="K7" s="3" t="s">
        <v>25</v>
      </c>
    </row>
    <row r="8" spans="1:11" ht="29.5" customHeight="1" x14ac:dyDescent="0.3">
      <c r="A8" s="1" t="s">
        <v>1</v>
      </c>
      <c r="B8" s="3" t="s">
        <v>6</v>
      </c>
      <c r="C8" s="3" t="s">
        <v>6</v>
      </c>
      <c r="D8" s="3" t="s">
        <v>6</v>
      </c>
      <c r="E8" s="3" t="s">
        <v>6</v>
      </c>
      <c r="F8" s="3">
        <f>E15-F15</f>
        <v>66</v>
      </c>
      <c r="G8" s="6">
        <f>E15-G15</f>
        <v>68</v>
      </c>
      <c r="H8" s="3">
        <f>E15-H15</f>
        <v>104</v>
      </c>
      <c r="I8" s="6">
        <v>104</v>
      </c>
      <c r="J8" s="6">
        <v>104</v>
      </c>
      <c r="K8" s="6">
        <v>104</v>
      </c>
    </row>
    <row r="9" spans="1:11" ht="29.5" customHeight="1" x14ac:dyDescent="0.3">
      <c r="A9" s="1" t="s">
        <v>2</v>
      </c>
      <c r="B9" s="3" t="s">
        <v>6</v>
      </c>
      <c r="C9" s="3" t="s">
        <v>6</v>
      </c>
      <c r="D9" s="3" t="s">
        <v>6</v>
      </c>
      <c r="E9" s="3" t="s">
        <v>6</v>
      </c>
      <c r="F9" s="5">
        <f>F8/E15</f>
        <v>0.11743772241992882</v>
      </c>
      <c r="G9" s="5">
        <f>G8/E15</f>
        <v>0.12099644128113879</v>
      </c>
      <c r="H9" s="5">
        <f>H8/E15</f>
        <v>0.18505338078291814</v>
      </c>
      <c r="I9" s="5">
        <v>0.18505338078291814</v>
      </c>
      <c r="J9" s="5">
        <v>0.18505338078291814</v>
      </c>
      <c r="K9" s="5">
        <v>0.18505338078291814</v>
      </c>
    </row>
    <row r="10" spans="1:11" ht="29.5" customHeight="1" x14ac:dyDescent="0.3">
      <c r="A10" s="1" t="s">
        <v>3</v>
      </c>
      <c r="B10" s="3" t="s">
        <v>6</v>
      </c>
      <c r="C10" s="3" t="s">
        <v>6</v>
      </c>
      <c r="D10" s="3" t="s">
        <v>14</v>
      </c>
      <c r="E10" s="3" t="s">
        <v>13</v>
      </c>
      <c r="F10" s="3" t="s">
        <v>16</v>
      </c>
      <c r="G10" s="3" t="s">
        <v>15</v>
      </c>
      <c r="H10" s="3" t="s">
        <v>18</v>
      </c>
      <c r="I10" s="3" t="s">
        <v>17</v>
      </c>
      <c r="J10" s="3" t="s">
        <v>19</v>
      </c>
      <c r="K10" s="3" t="s">
        <v>20</v>
      </c>
    </row>
    <row r="11" spans="1:11" ht="29.5" customHeight="1" x14ac:dyDescent="0.3">
      <c r="A11" s="1" t="s">
        <v>4</v>
      </c>
      <c r="B11" s="3" t="s">
        <v>6</v>
      </c>
      <c r="C11" s="3" t="s">
        <v>6</v>
      </c>
      <c r="D11" s="4" t="s">
        <v>8</v>
      </c>
      <c r="E11" s="4" t="s">
        <v>8</v>
      </c>
      <c r="F11" s="4" t="s">
        <v>8</v>
      </c>
      <c r="G11" s="4" t="s">
        <v>8</v>
      </c>
      <c r="H11" s="4" t="s">
        <v>8</v>
      </c>
      <c r="I11" s="4" t="s">
        <v>8</v>
      </c>
      <c r="J11" s="4" t="s">
        <v>8</v>
      </c>
      <c r="K11" s="4" t="s">
        <v>8</v>
      </c>
    </row>
    <row r="15" spans="1:11" x14ac:dyDescent="0.3">
      <c r="E15">
        <v>562</v>
      </c>
      <c r="F15">
        <v>496</v>
      </c>
      <c r="G15">
        <v>494</v>
      </c>
      <c r="H15">
        <v>458</v>
      </c>
    </row>
    <row r="18" spans="2:10" x14ac:dyDescent="0.3">
      <c r="B18" s="2">
        <f>(B6-C6)/25.1</f>
        <v>1.5537848605577658E-3</v>
      </c>
      <c r="D18" s="2">
        <f>(D6-E6)/25.1</f>
        <v>4.6015936254980051E-3</v>
      </c>
      <c r="F18" s="2">
        <f>(F6-G6)/25.1</f>
        <v>5.5298804780876502E-3</v>
      </c>
      <c r="H18" s="2">
        <f>(H6-I6)/25.1</f>
        <v>4.2828685258964111E-3</v>
      </c>
      <c r="J18" s="2">
        <f>(J6-K6)/25.1</f>
        <v>7.1155378486055807E-3</v>
      </c>
    </row>
  </sheetData>
  <mergeCells count="6">
    <mergeCell ref="A1:K1"/>
    <mergeCell ref="B2:C2"/>
    <mergeCell ref="D2:E2"/>
    <mergeCell ref="F2:G2"/>
    <mergeCell ref="H2:I2"/>
    <mergeCell ref="J2:K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opLeftCell="A2" workbookViewId="0">
      <selection activeCell="E20" sqref="E20"/>
    </sheetView>
  </sheetViews>
  <sheetFormatPr defaultRowHeight="14" x14ac:dyDescent="0.3"/>
  <cols>
    <col min="5" max="5" width="11.33203125" bestFit="1" customWidth="1"/>
  </cols>
  <sheetData>
    <row r="1" spans="1:6" ht="30.5" customHeight="1" thickBot="1" x14ac:dyDescent="0.35"/>
    <row r="2" spans="1:6" ht="30" customHeight="1" thickBot="1" x14ac:dyDescent="0.35">
      <c r="A2" s="21" t="s">
        <v>39</v>
      </c>
      <c r="B2" s="22"/>
      <c r="C2" s="22"/>
      <c r="D2" s="22"/>
      <c r="E2" s="23"/>
    </row>
    <row r="3" spans="1:6" ht="30" customHeight="1" thickBot="1" x14ac:dyDescent="0.35">
      <c r="A3" s="12" t="s">
        <v>40</v>
      </c>
      <c r="B3" s="13" t="s">
        <v>41</v>
      </c>
      <c r="C3" s="14" t="s">
        <v>42</v>
      </c>
      <c r="D3" s="14" t="s">
        <v>43</v>
      </c>
      <c r="E3" s="14" t="s">
        <v>44</v>
      </c>
      <c r="F3" s="14" t="s">
        <v>44</v>
      </c>
    </row>
    <row r="4" spans="1:6" ht="30" customHeight="1" thickBot="1" x14ac:dyDescent="0.35">
      <c r="A4" s="24" t="s">
        <v>45</v>
      </c>
      <c r="B4" s="15" t="s">
        <v>46</v>
      </c>
      <c r="C4" s="16">
        <v>1.2829999999999999</v>
      </c>
      <c r="D4" s="16">
        <v>1.5827</v>
      </c>
      <c r="E4" s="17">
        <f>F4/C4</f>
        <v>0.23359314107560414</v>
      </c>
      <c r="F4" s="15">
        <f>D4-C4</f>
        <v>0.29970000000000008</v>
      </c>
    </row>
    <row r="5" spans="1:6" ht="30" customHeight="1" thickBot="1" x14ac:dyDescent="0.35">
      <c r="A5" s="25"/>
      <c r="B5" s="15" t="s">
        <v>47</v>
      </c>
      <c r="C5" s="16">
        <v>1.244</v>
      </c>
      <c r="D5" s="16">
        <v>1.4040999999999999</v>
      </c>
      <c r="E5" s="17">
        <f>F5/C5</f>
        <v>0.12869774919614141</v>
      </c>
      <c r="F5" s="15">
        <f>D5-C5</f>
        <v>0.16009999999999991</v>
      </c>
    </row>
    <row r="6" spans="1:6" ht="30" customHeight="1" thickBot="1" x14ac:dyDescent="0.35"/>
    <row r="7" spans="1:6" ht="30" customHeight="1" thickBot="1" x14ac:dyDescent="0.35">
      <c r="A7" s="21" t="s">
        <v>48</v>
      </c>
      <c r="B7" s="22"/>
      <c r="C7" s="22"/>
      <c r="D7" s="22"/>
      <c r="E7" s="23"/>
    </row>
    <row r="8" spans="1:6" ht="30" customHeight="1" thickBot="1" x14ac:dyDescent="0.35">
      <c r="A8" s="12" t="s">
        <v>40</v>
      </c>
      <c r="B8" s="13" t="s">
        <v>41</v>
      </c>
      <c r="C8" s="14" t="s">
        <v>42</v>
      </c>
      <c r="D8" s="14" t="s">
        <v>43</v>
      </c>
      <c r="E8" s="14" t="s">
        <v>44</v>
      </c>
      <c r="F8" s="14" t="s">
        <v>44</v>
      </c>
    </row>
    <row r="9" spans="1:6" ht="30" customHeight="1" thickBot="1" x14ac:dyDescent="0.35">
      <c r="A9" s="24" t="s">
        <v>45</v>
      </c>
      <c r="B9" s="15" t="s">
        <v>46</v>
      </c>
      <c r="C9" s="16">
        <v>817</v>
      </c>
      <c r="D9" s="16">
        <v>987</v>
      </c>
      <c r="E9" s="17">
        <f>F9/C9</f>
        <v>0.20807833537331702</v>
      </c>
      <c r="F9" s="15">
        <f>D9-C9</f>
        <v>170</v>
      </c>
    </row>
    <row r="10" spans="1:6" ht="30" customHeight="1" thickBot="1" x14ac:dyDescent="0.35">
      <c r="A10" s="25"/>
      <c r="B10" s="15" t="s">
        <v>47</v>
      </c>
      <c r="C10" s="16">
        <v>786</v>
      </c>
      <c r="D10" s="16">
        <v>868</v>
      </c>
      <c r="E10" s="17">
        <f>F10/C10</f>
        <v>0.10432569974554708</v>
      </c>
      <c r="F10" s="15">
        <f>D10-C10</f>
        <v>82</v>
      </c>
    </row>
    <row r="13" spans="1:6" ht="26.5" customHeight="1" x14ac:dyDescent="0.3"/>
    <row r="14" spans="1:6" ht="26.5" customHeight="1" x14ac:dyDescent="0.3"/>
    <row r="15" spans="1:6" ht="26.5" customHeight="1" x14ac:dyDescent="0.3"/>
    <row r="16" spans="1:6" ht="26.5" customHeight="1" x14ac:dyDescent="0.3"/>
    <row r="17" ht="26.5" customHeight="1" x14ac:dyDescent="0.3"/>
    <row r="18" ht="26.5" customHeight="1" x14ac:dyDescent="0.3"/>
    <row r="19" ht="26.5" customHeight="1" x14ac:dyDescent="0.3"/>
    <row r="20" ht="26.5" customHeight="1" x14ac:dyDescent="0.3"/>
    <row r="21" ht="26.5" customHeight="1" x14ac:dyDescent="0.3"/>
  </sheetData>
  <mergeCells count="4">
    <mergeCell ref="A2:E2"/>
    <mergeCell ref="A4:A5"/>
    <mergeCell ref="A7:E7"/>
    <mergeCell ref="A9:A10"/>
  </mergeCells>
  <phoneticPr fontId="1" type="noConversion"/>
  <pageMargins left="0.7" right="0.7" top="0.75" bottom="0.75" header="0.3" footer="0.3"/>
  <pageSetup paperSize="9" orientation="portrait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7A841-A0E2-4653-A1F5-BF0B593142C4}">
  <dimension ref="B1:L10"/>
  <sheetViews>
    <sheetView workbookViewId="0">
      <selection activeCell="D21" sqref="D21"/>
    </sheetView>
  </sheetViews>
  <sheetFormatPr defaultRowHeight="14" x14ac:dyDescent="0.3"/>
  <cols>
    <col min="1" max="1" width="18.6640625" customWidth="1"/>
    <col min="7" max="7" width="14.83203125" customWidth="1"/>
    <col min="8" max="8" width="9.83203125" customWidth="1"/>
    <col min="9" max="9" width="17.5" customWidth="1"/>
    <col min="10" max="10" width="14.58203125" customWidth="1"/>
    <col min="11" max="11" width="14.5" customWidth="1"/>
    <col min="12" max="12" width="23.83203125" customWidth="1"/>
  </cols>
  <sheetData>
    <row r="1" spans="2:12" ht="14.5" thickBot="1" x14ac:dyDescent="0.35">
      <c r="B1" s="7" t="s">
        <v>28</v>
      </c>
      <c r="C1" s="7" t="s">
        <v>29</v>
      </c>
      <c r="D1" s="7"/>
      <c r="F1" s="7"/>
      <c r="G1" t="s">
        <v>22</v>
      </c>
      <c r="H1" t="s">
        <v>22</v>
      </c>
      <c r="I1" t="s">
        <v>35</v>
      </c>
      <c r="J1" t="s">
        <v>36</v>
      </c>
      <c r="K1" t="s">
        <v>37</v>
      </c>
      <c r="L1" t="s">
        <v>38</v>
      </c>
    </row>
    <row r="2" spans="2:12" ht="14.5" thickBot="1" x14ac:dyDescent="0.35">
      <c r="B2" s="8">
        <v>817</v>
      </c>
      <c r="C2" s="9">
        <v>786</v>
      </c>
      <c r="D2">
        <f>B2-C2</f>
        <v>31</v>
      </c>
      <c r="E2" s="7">
        <f>D2/2200</f>
        <v>1.4090909090909091E-2</v>
      </c>
      <c r="G2" t="s">
        <v>30</v>
      </c>
    </row>
    <row r="3" spans="2:12" ht="14.5" thickBot="1" x14ac:dyDescent="0.35">
      <c r="B3" s="10">
        <v>887</v>
      </c>
      <c r="C3" s="11">
        <v>777</v>
      </c>
      <c r="D3">
        <f t="shared" ref="D3:D6" si="0">B3-C3</f>
        <v>110</v>
      </c>
      <c r="E3" s="7">
        <f t="shared" ref="E3:E6" si="1">D3/2200</f>
        <v>0.05</v>
      </c>
      <c r="G3" t="s">
        <v>32</v>
      </c>
    </row>
    <row r="4" spans="2:12" ht="14.5" thickBot="1" x14ac:dyDescent="0.35">
      <c r="B4" s="10">
        <v>949</v>
      </c>
      <c r="C4" s="11">
        <v>839</v>
      </c>
      <c r="D4">
        <f t="shared" si="0"/>
        <v>110</v>
      </c>
      <c r="E4" s="7">
        <f t="shared" si="1"/>
        <v>0.05</v>
      </c>
      <c r="G4" t="s">
        <v>33</v>
      </c>
    </row>
    <row r="5" spans="2:12" ht="14.5" thickBot="1" x14ac:dyDescent="0.35">
      <c r="B5" s="10">
        <v>983</v>
      </c>
      <c r="C5" s="11">
        <v>897</v>
      </c>
      <c r="D5">
        <f t="shared" si="0"/>
        <v>86</v>
      </c>
      <c r="E5" s="7">
        <f t="shared" si="1"/>
        <v>3.9090909090909093E-2</v>
      </c>
      <c r="G5" t="s">
        <v>12</v>
      </c>
    </row>
    <row r="6" spans="2:12" ht="14.5" thickBot="1" x14ac:dyDescent="0.35">
      <c r="B6" s="10">
        <v>987</v>
      </c>
      <c r="C6" s="11">
        <v>868</v>
      </c>
      <c r="D6">
        <f t="shared" si="0"/>
        <v>119</v>
      </c>
      <c r="E6" s="7">
        <f t="shared" si="1"/>
        <v>5.4090909090909092E-2</v>
      </c>
    </row>
    <row r="7" spans="2:12" x14ac:dyDescent="0.3">
      <c r="G7" t="s">
        <v>31</v>
      </c>
    </row>
    <row r="8" spans="2:12" x14ac:dyDescent="0.3">
      <c r="G8" t="s">
        <v>32</v>
      </c>
    </row>
    <row r="9" spans="2:12" x14ac:dyDescent="0.3">
      <c r="G9" t="s">
        <v>33</v>
      </c>
    </row>
    <row r="10" spans="2:12" x14ac:dyDescent="0.3">
      <c r="G10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3号4号</vt:lpstr>
      <vt:lpstr>3号</vt:lpstr>
      <vt:lpstr>波形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</dc:creator>
  <cp:lastModifiedBy>MR Wu</cp:lastModifiedBy>
  <dcterms:created xsi:type="dcterms:W3CDTF">2015-06-05T18:19:34Z</dcterms:created>
  <dcterms:modified xsi:type="dcterms:W3CDTF">2025-07-07T00:54:48Z</dcterms:modified>
</cp:coreProperties>
</file>