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4"/>
  <workbookPr/>
  <mc:AlternateContent xmlns:mc="http://schemas.openxmlformats.org/markup-compatibility/2006">
    <mc:Choice Requires="x15">
      <x15ac:absPath xmlns:x15ac="http://schemas.microsoft.com/office/spreadsheetml/2010/11/ac" url="C:\Users\wu\Desktop\鄂州AFC测试\高科6.26\"/>
    </mc:Choice>
  </mc:AlternateContent>
  <xr:revisionPtr revIDLastSave="0" documentId="13_ncr:1_{76FEED07-063A-4FAB-A524-02D0CAC8BCAB}" xr6:coauthVersionLast="47" xr6:coauthVersionMax="47" xr10:uidLastSave="{00000000-0000-0000-0000-000000000000}"/>
  <bookViews>
    <workbookView xWindow="6400" yWindow="2280" windowWidth="19200" windowHeight="11170" xr2:uid="{00000000-000D-0000-FFFF-FFFF00000000}"/>
  </bookViews>
  <sheets>
    <sheet name="3号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2" l="1"/>
  <c r="J17" i="2"/>
  <c r="K17" i="2" s="1"/>
  <c r="J16" i="2"/>
  <c r="K16" i="2" s="1"/>
  <c r="J15" i="2"/>
  <c r="K15" i="2" s="1"/>
  <c r="K14" i="2"/>
  <c r="K13" i="2"/>
  <c r="D14" i="2"/>
  <c r="E14" i="2"/>
  <c r="D15" i="2"/>
  <c r="E15" i="2"/>
  <c r="D16" i="2"/>
  <c r="E16" i="2"/>
  <c r="D17" i="2"/>
  <c r="E17" i="2"/>
  <c r="E13" i="2"/>
  <c r="D13" i="2"/>
  <c r="E7" i="2"/>
  <c r="D7" i="2"/>
  <c r="C7" i="2"/>
  <c r="B7" i="2"/>
  <c r="H17" i="1"/>
  <c r="F13" i="1"/>
  <c r="E13" i="1"/>
  <c r="D13" i="1"/>
</calcChain>
</file>

<file path=xl/sharedStrings.xml><?xml version="1.0" encoding="utf-8"?>
<sst xmlns="http://schemas.openxmlformats.org/spreadsheetml/2006/main" count="38" uniqueCount="30">
  <si>
    <t>原始未优化</t>
  </si>
  <si>
    <t>第一次迭代优化</t>
  </si>
  <si>
    <t>第二次迭代优化</t>
  </si>
  <si>
    <t>第三次迭代优化（优化完成）</t>
  </si>
  <si>
    <t>修调</t>
  </si>
  <si>
    <t>加工时间</t>
  </si>
  <si>
    <t>提升时间</t>
  </si>
  <si>
    <t>效率提升百分比</t>
  </si>
  <si>
    <t>样本编号</t>
  </si>
  <si>
    <t>型腔件</t>
    <phoneticPr fontId="1" type="noConversion"/>
  </si>
  <si>
    <r>
      <t>载入</t>
    </r>
    <r>
      <rPr>
        <b/>
        <sz val="10.5"/>
        <color theme="1"/>
        <rFont val="Calibri"/>
        <family val="2"/>
      </rPr>
      <t>I</t>
    </r>
    <r>
      <rPr>
        <b/>
        <sz val="10.5"/>
        <color theme="1"/>
        <rFont val="宋体"/>
        <family val="3"/>
        <charset val="134"/>
      </rPr>
      <t>代码首次运行</t>
    </r>
  </si>
  <si>
    <t>图形</t>
    <phoneticPr fontId="1" type="noConversion"/>
  </si>
  <si>
    <t>正样本</t>
    <phoneticPr fontId="1" type="noConversion"/>
  </si>
  <si>
    <t>正负标志</t>
    <phoneticPr fontId="1" type="noConversion"/>
  </si>
  <si>
    <t>11min0s</t>
    <phoneticPr fontId="1" type="noConversion"/>
  </si>
  <si>
    <t>3号机床（SN:37E9157C372BAE0）</t>
    <phoneticPr fontId="1" type="noConversion"/>
  </si>
  <si>
    <t>9min38s</t>
    <phoneticPr fontId="1" type="noConversion"/>
  </si>
  <si>
    <t>AFC2_20250626093354</t>
    <phoneticPr fontId="1" type="noConversion"/>
  </si>
  <si>
    <t>AFC2_20250626090955</t>
    <phoneticPr fontId="1" type="noConversion"/>
  </si>
  <si>
    <t>8min58s</t>
    <phoneticPr fontId="1" type="noConversion"/>
  </si>
  <si>
    <t>AFC2_20250626111353</t>
    <phoneticPr fontId="1" type="noConversion"/>
  </si>
  <si>
    <t>负载电流均值</t>
    <phoneticPr fontId="1" type="noConversion"/>
  </si>
  <si>
    <t>/</t>
    <phoneticPr fontId="1" type="noConversion"/>
  </si>
  <si>
    <t>82s</t>
    <phoneticPr fontId="1" type="noConversion"/>
  </si>
  <si>
    <t>122s</t>
    <phoneticPr fontId="1" type="noConversion"/>
  </si>
  <si>
    <t>AFC_DONE_20250626131712</t>
    <phoneticPr fontId="1" type="noConversion"/>
  </si>
  <si>
    <t>负样本</t>
    <phoneticPr fontId="1" type="noConversion"/>
  </si>
  <si>
    <t>3.0~4.7</t>
  </si>
  <si>
    <t>4.0~5.8</t>
  </si>
  <si>
    <t>3.98%~4.38%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</si>
</sst>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b/>
      <sz val="10.5"/>
      <color theme="1"/>
      <name val="宋体"/>
      <family val="3"/>
      <charset val="134"/>
    </font>
    <font>
      <b/>
      <sz val="10.5"/>
      <color theme="1"/>
      <name val="Calibri"/>
      <family val="2"/>
    </font>
    <font>
      <sz val="16"/>
      <color theme="1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0" xfId="0" applyFont="1"/>
    <xf numFmtId="10" fontId="0" fillId="0" borderId="0" xfId="0" applyNumberFormat="1"/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10" fontId="7" fillId="0" borderId="6" xfId="0" applyNumberFormat="1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C4" sqref="C4"/>
    </sheetView>
  </sheetViews>
  <sheetFormatPr defaultRowHeight="14" x14ac:dyDescent="0.3"/>
  <cols>
    <col min="1" max="5" width="20.58203125" customWidth="1"/>
    <col min="6" max="6" width="27.58203125" customWidth="1"/>
  </cols>
  <sheetData>
    <row r="1" spans="1:9" ht="30.5" customHeight="1" x14ac:dyDescent="0.3">
      <c r="A1" s="7" t="s">
        <v>15</v>
      </c>
      <c r="B1" s="7"/>
      <c r="C1" s="7"/>
      <c r="D1" s="7"/>
      <c r="E1" s="7"/>
      <c r="F1" s="7"/>
    </row>
    <row r="2" spans="1:9" ht="30" customHeight="1" x14ac:dyDescent="0.3">
      <c r="A2" s="6" t="s">
        <v>9</v>
      </c>
      <c r="B2" s="3" t="s">
        <v>0</v>
      </c>
      <c r="C2" s="3" t="s">
        <v>10</v>
      </c>
      <c r="D2" s="3" t="s">
        <v>1</v>
      </c>
      <c r="E2" s="3" t="s">
        <v>2</v>
      </c>
      <c r="F2" s="3" t="s">
        <v>3</v>
      </c>
    </row>
    <row r="3" spans="1:9" ht="30" customHeight="1" x14ac:dyDescent="0.3">
      <c r="A3" s="3" t="s">
        <v>4</v>
      </c>
      <c r="B3" s="2">
        <v>100</v>
      </c>
      <c r="C3" s="2">
        <v>100</v>
      </c>
      <c r="D3" s="2">
        <v>125</v>
      </c>
      <c r="E3" s="2">
        <v>150</v>
      </c>
      <c r="F3" s="2">
        <v>150</v>
      </c>
    </row>
    <row r="4" spans="1:9" ht="30" customHeight="1" x14ac:dyDescent="0.3">
      <c r="A4" s="3" t="s">
        <v>21</v>
      </c>
      <c r="B4" s="2">
        <v>0.41689999999999999</v>
      </c>
      <c r="C4" s="2">
        <v>0.42530000000000001</v>
      </c>
      <c r="D4" s="2">
        <v>0.43630000000000002</v>
      </c>
      <c r="E4" s="2">
        <v>0.4415</v>
      </c>
      <c r="F4" s="2">
        <v>0.44519999999999998</v>
      </c>
    </row>
    <row r="5" spans="1:9" ht="30" customHeight="1" x14ac:dyDescent="0.3">
      <c r="A5" s="3" t="s">
        <v>5</v>
      </c>
      <c r="B5" s="2" t="s">
        <v>14</v>
      </c>
      <c r="C5" s="2" t="s">
        <v>14</v>
      </c>
      <c r="D5" s="2" t="s">
        <v>16</v>
      </c>
      <c r="E5" s="2" t="s">
        <v>19</v>
      </c>
      <c r="F5" s="2" t="s">
        <v>19</v>
      </c>
    </row>
    <row r="6" spans="1:9" ht="30" customHeight="1" x14ac:dyDescent="0.3">
      <c r="A6" s="3" t="s">
        <v>6</v>
      </c>
      <c r="B6" s="2" t="s">
        <v>22</v>
      </c>
      <c r="C6" s="2" t="s">
        <v>22</v>
      </c>
      <c r="D6" s="5" t="s">
        <v>23</v>
      </c>
      <c r="E6" s="5" t="s">
        <v>24</v>
      </c>
      <c r="F6" s="5" t="s">
        <v>24</v>
      </c>
    </row>
    <row r="7" spans="1:9" ht="30" customHeight="1" x14ac:dyDescent="0.3">
      <c r="A7" s="3" t="s">
        <v>7</v>
      </c>
      <c r="B7" s="2" t="s">
        <v>22</v>
      </c>
      <c r="C7" s="4" t="s">
        <v>22</v>
      </c>
      <c r="D7" s="5">
        <v>0.1242</v>
      </c>
      <c r="E7" s="5">
        <v>0.18479999999999999</v>
      </c>
      <c r="F7" s="5">
        <v>0.18479999999999999</v>
      </c>
    </row>
    <row r="8" spans="1:9" ht="30" customHeight="1" x14ac:dyDescent="0.3">
      <c r="A8" s="3" t="s">
        <v>8</v>
      </c>
      <c r="B8" s="2"/>
      <c r="C8" s="2" t="s">
        <v>18</v>
      </c>
      <c r="D8" s="2" t="s">
        <v>17</v>
      </c>
      <c r="E8" s="2" t="s">
        <v>20</v>
      </c>
      <c r="F8" s="2" t="s">
        <v>25</v>
      </c>
    </row>
    <row r="9" spans="1:9" ht="30" customHeight="1" x14ac:dyDescent="0.3">
      <c r="A9" s="3" t="s">
        <v>13</v>
      </c>
      <c r="B9" s="2"/>
      <c r="C9" s="4" t="s">
        <v>12</v>
      </c>
      <c r="D9" s="4" t="s">
        <v>12</v>
      </c>
      <c r="E9" s="4" t="s">
        <v>12</v>
      </c>
      <c r="F9" s="2" t="s">
        <v>26</v>
      </c>
    </row>
    <row r="10" spans="1:9" ht="68" customHeight="1" x14ac:dyDescent="0.3">
      <c r="A10" s="3" t="s">
        <v>11</v>
      </c>
      <c r="B10" s="1"/>
      <c r="C10" s="1"/>
      <c r="D10" s="1"/>
      <c r="E10" s="1"/>
      <c r="F10" s="1"/>
    </row>
    <row r="13" spans="1:9" x14ac:dyDescent="0.3">
      <c r="D13">
        <f>(C14-D14)/C14</f>
        <v>0.12424242424242424</v>
      </c>
      <c r="E13">
        <f>(C14-E14)/C14</f>
        <v>0.18484848484848485</v>
      </c>
      <c r="F13">
        <f>(C14-F14)/C14</f>
        <v>1</v>
      </c>
    </row>
    <row r="14" spans="1:9" x14ac:dyDescent="0.3">
      <c r="C14">
        <v>660</v>
      </c>
      <c r="D14">
        <v>578</v>
      </c>
      <c r="E14">
        <v>538</v>
      </c>
    </row>
    <row r="15" spans="1:9" x14ac:dyDescent="0.3">
      <c r="D15">
        <v>1.1418680000000001</v>
      </c>
      <c r="E15">
        <v>1.2267600000000001</v>
      </c>
    </row>
    <row r="16" spans="1:9" x14ac:dyDescent="0.3">
      <c r="H16">
        <v>1.57</v>
      </c>
      <c r="I16">
        <v>1.93</v>
      </c>
    </row>
    <row r="17" spans="8:8" x14ac:dyDescent="0.3">
      <c r="H17">
        <f>(I16-H16)/H16</f>
        <v>0.22929936305732476</v>
      </c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52D9C-B954-448C-960E-38B73FEAEDD2}">
  <dimension ref="A2:L30"/>
  <sheetViews>
    <sheetView topLeftCell="A12" workbookViewId="0">
      <selection activeCell="G15" sqref="G15"/>
    </sheetView>
  </sheetViews>
  <sheetFormatPr defaultRowHeight="14" x14ac:dyDescent="0.3"/>
  <sheetData>
    <row r="2" spans="1:12" ht="14.5" thickBot="1" x14ac:dyDescent="0.35"/>
    <row r="3" spans="1:12" ht="15.5" thickBot="1" x14ac:dyDescent="0.35">
      <c r="A3" s="8">
        <v>0.4199</v>
      </c>
      <c r="B3" s="9">
        <v>0.45200000000000001</v>
      </c>
      <c r="C3" s="9">
        <v>0.45540000000000003</v>
      </c>
      <c r="D3" s="9">
        <v>0.4637</v>
      </c>
      <c r="E3" s="9">
        <v>0.47439999999999999</v>
      </c>
    </row>
    <row r="4" spans="1:12" ht="14.5" thickBot="1" x14ac:dyDescent="0.35"/>
    <row r="5" spans="1:12" ht="15.5" thickBot="1" x14ac:dyDescent="0.35">
      <c r="H5" s="8">
        <v>0.41689999999999999</v>
      </c>
      <c r="I5" s="9">
        <v>0.42530000000000001</v>
      </c>
      <c r="J5" s="9">
        <v>0.43630000000000002</v>
      </c>
      <c r="K5" s="9">
        <v>0.4415</v>
      </c>
      <c r="L5" s="9">
        <v>0.44519999999999998</v>
      </c>
    </row>
    <row r="6" spans="1:12" ht="14.5" thickBot="1" x14ac:dyDescent="0.35"/>
    <row r="7" spans="1:12" ht="15.5" thickBot="1" x14ac:dyDescent="0.35">
      <c r="B7">
        <f>(B3-A3)/A3</f>
        <v>7.644677304120033E-2</v>
      </c>
      <c r="C7">
        <f>(C3-A3)/A3</f>
        <v>8.4543939033103199E-2</v>
      </c>
      <c r="D7">
        <f>(D3-A3)/A3</f>
        <v>0.10431055013098359</v>
      </c>
      <c r="E7">
        <f>(E3-A3)/A3</f>
        <v>0.12979280781138364</v>
      </c>
      <c r="H7" s="8">
        <v>0.41689999999999999</v>
      </c>
      <c r="I7" s="8">
        <v>0.4199</v>
      </c>
    </row>
    <row r="8" spans="1:12" ht="15.5" thickBot="1" x14ac:dyDescent="0.35">
      <c r="H8" s="9">
        <v>0.42530000000000001</v>
      </c>
      <c r="I8" s="9">
        <v>0.45200000000000001</v>
      </c>
    </row>
    <row r="9" spans="1:12" ht="15.5" thickBot="1" x14ac:dyDescent="0.35">
      <c r="H9" s="9">
        <v>0.43630000000000002</v>
      </c>
      <c r="I9" s="9">
        <v>0.45540000000000003</v>
      </c>
    </row>
    <row r="10" spans="1:12" ht="15.5" thickBot="1" x14ac:dyDescent="0.35">
      <c r="H10" s="9">
        <v>0.4415</v>
      </c>
      <c r="I10" s="9">
        <v>0.4637</v>
      </c>
    </row>
    <row r="11" spans="1:12" ht="15.5" thickBot="1" x14ac:dyDescent="0.35">
      <c r="H11" s="9">
        <v>0.44519999999999998</v>
      </c>
      <c r="I11" s="9">
        <v>0.47439999999999999</v>
      </c>
    </row>
    <row r="13" spans="1:12" ht="16" thickBot="1" x14ac:dyDescent="0.35">
      <c r="B13" s="10">
        <v>0.41689999999999999</v>
      </c>
      <c r="C13" s="10">
        <v>0.4199</v>
      </c>
      <c r="D13">
        <f>C13-B13</f>
        <v>3.0000000000000027E-3</v>
      </c>
      <c r="E13" s="11">
        <f>D13/25.1</f>
        <v>1.1952191235059771E-4</v>
      </c>
      <c r="H13" s="10"/>
      <c r="I13" s="10"/>
      <c r="J13">
        <v>0.8</v>
      </c>
      <c r="K13" s="11">
        <f>J13/25.1</f>
        <v>3.1872509960159362E-2</v>
      </c>
    </row>
    <row r="14" spans="1:12" ht="15.5" thickBot="1" x14ac:dyDescent="0.35">
      <c r="B14" s="9">
        <v>0.42530000000000001</v>
      </c>
      <c r="C14" s="9">
        <v>0.45200000000000001</v>
      </c>
      <c r="D14">
        <f t="shared" ref="D14:D18" si="0">C14-B14</f>
        <v>2.6700000000000002E-2</v>
      </c>
      <c r="E14" s="11">
        <f t="shared" ref="E14:E18" si="1">D14/25.1</f>
        <v>1.0637450199203187E-3</v>
      </c>
      <c r="H14" s="9"/>
      <c r="I14" s="9"/>
      <c r="J14">
        <v>1.1000000000000001</v>
      </c>
      <c r="K14" s="11">
        <f t="shared" ref="K14:K17" si="2">J14/25.1</f>
        <v>4.3824701195219126E-2</v>
      </c>
    </row>
    <row r="15" spans="1:12" ht="15.5" thickBot="1" x14ac:dyDescent="0.35">
      <c r="B15" s="9">
        <v>0.43630000000000002</v>
      </c>
      <c r="C15" s="9">
        <v>0.45540000000000003</v>
      </c>
      <c r="D15">
        <f t="shared" si="0"/>
        <v>1.9100000000000006E-2</v>
      </c>
      <c r="E15" s="11">
        <f t="shared" si="1"/>
        <v>7.6095617529880501E-4</v>
      </c>
      <c r="H15" s="9"/>
      <c r="I15" s="9"/>
      <c r="J15">
        <f t="shared" ref="J14:J17" si="3">I15-H15</f>
        <v>0</v>
      </c>
      <c r="K15" s="11">
        <f t="shared" si="2"/>
        <v>0</v>
      </c>
    </row>
    <row r="16" spans="1:12" ht="15.5" thickBot="1" x14ac:dyDescent="0.35">
      <c r="B16" s="9">
        <v>0.4415</v>
      </c>
      <c r="C16" s="9">
        <v>0.4637</v>
      </c>
      <c r="D16">
        <f t="shared" si="0"/>
        <v>2.2199999999999998E-2</v>
      </c>
      <c r="E16" s="11">
        <f t="shared" si="1"/>
        <v>8.844621513944222E-4</v>
      </c>
      <c r="H16" s="9"/>
      <c r="I16" s="9"/>
      <c r="J16">
        <f t="shared" si="3"/>
        <v>0</v>
      </c>
      <c r="K16" s="11">
        <f t="shared" si="2"/>
        <v>0</v>
      </c>
    </row>
    <row r="17" spans="1:11" ht="15.5" thickBot="1" x14ac:dyDescent="0.35">
      <c r="B17" s="9">
        <v>0.44519999999999998</v>
      </c>
      <c r="C17" s="9">
        <v>0.47439999999999999</v>
      </c>
      <c r="D17">
        <f t="shared" si="0"/>
        <v>2.9200000000000004E-2</v>
      </c>
      <c r="E17" s="11">
        <f t="shared" si="1"/>
        <v>1.1633466135458168E-3</v>
      </c>
      <c r="H17" s="9"/>
      <c r="I17" s="9"/>
      <c r="J17">
        <f t="shared" si="3"/>
        <v>0</v>
      </c>
      <c r="K17" s="11">
        <f t="shared" si="2"/>
        <v>0</v>
      </c>
    </row>
    <row r="18" spans="1:11" ht="15.5" x14ac:dyDescent="0.3">
      <c r="B18" s="10"/>
      <c r="C18" s="10"/>
      <c r="E18" s="11"/>
    </row>
    <row r="20" spans="1:11" ht="14.5" thickBot="1" x14ac:dyDescent="0.35"/>
    <row r="21" spans="1:11" ht="30.5" thickBot="1" x14ac:dyDescent="0.35">
      <c r="A21" s="8" t="s">
        <v>27</v>
      </c>
      <c r="B21" s="9" t="s">
        <v>28</v>
      </c>
      <c r="C21" s="9"/>
      <c r="D21" s="9" t="s">
        <v>29</v>
      </c>
    </row>
    <row r="22" spans="1:11" ht="15.5" thickBot="1" x14ac:dyDescent="0.35">
      <c r="A22" s="12">
        <v>0.41689999999999999</v>
      </c>
      <c r="B22" s="13">
        <v>0.4199</v>
      </c>
      <c r="C22" s="13">
        <f>B22-A22</f>
        <v>3.0000000000000027E-3</v>
      </c>
      <c r="D22" s="14">
        <v>1E-4</v>
      </c>
    </row>
    <row r="23" spans="1:11" ht="15.5" thickBot="1" x14ac:dyDescent="0.35">
      <c r="A23" s="12"/>
      <c r="B23" s="13"/>
      <c r="C23" s="15"/>
      <c r="D23" s="15"/>
    </row>
    <row r="24" spans="1:11" ht="15.5" thickBot="1" x14ac:dyDescent="0.35">
      <c r="A24" s="16"/>
      <c r="B24" s="15"/>
      <c r="C24" s="13"/>
      <c r="D24" s="14"/>
    </row>
    <row r="25" spans="1:11" ht="15.5" thickBot="1" x14ac:dyDescent="0.35">
      <c r="A25" s="12"/>
      <c r="B25" s="13"/>
      <c r="C25" s="15"/>
      <c r="D25" s="15"/>
    </row>
    <row r="26" spans="1:11" ht="15.5" thickBot="1" x14ac:dyDescent="0.35">
      <c r="A26" s="16"/>
      <c r="B26" s="15"/>
      <c r="C26" s="13"/>
      <c r="D26" s="14"/>
    </row>
    <row r="27" spans="1:11" ht="15.5" thickBot="1" x14ac:dyDescent="0.35">
      <c r="A27" s="12"/>
      <c r="B27" s="13"/>
      <c r="C27" s="15"/>
      <c r="D27" s="15"/>
    </row>
    <row r="28" spans="1:11" ht="15.5" thickBot="1" x14ac:dyDescent="0.35">
      <c r="A28" s="16"/>
      <c r="B28" s="15"/>
      <c r="C28" s="13"/>
      <c r="D28" s="14"/>
    </row>
    <row r="29" spans="1:11" ht="15.5" thickBot="1" x14ac:dyDescent="0.35">
      <c r="A29" s="12"/>
      <c r="B29" s="13"/>
      <c r="C29" s="15"/>
      <c r="D29" s="15"/>
    </row>
    <row r="30" spans="1:11" ht="15.5" thickBot="1" x14ac:dyDescent="0.35">
      <c r="A30" s="16"/>
      <c r="B30" s="15"/>
      <c r="C30" s="13"/>
      <c r="D30" s="1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3号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</dc:creator>
  <cp:lastModifiedBy>MR Wu</cp:lastModifiedBy>
  <dcterms:created xsi:type="dcterms:W3CDTF">2015-06-05T18:19:34Z</dcterms:created>
  <dcterms:modified xsi:type="dcterms:W3CDTF">2025-06-27T06:04:42Z</dcterms:modified>
</cp:coreProperties>
</file>