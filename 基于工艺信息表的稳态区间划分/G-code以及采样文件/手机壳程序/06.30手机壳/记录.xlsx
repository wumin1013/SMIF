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C:\Users\wu\Desktop\鄂州AFC测试\手机壳6.30\"/>
    </mc:Choice>
  </mc:AlternateContent>
  <xr:revisionPtr revIDLastSave="0" documentId="13_ncr:1_{24750D61-3A5A-4B9C-B21C-75FA78BE614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3号" sheetId="1" r:id="rId1"/>
    <sheet name="Sheet1" sheetId="2" r:id="rId2"/>
    <sheet name="表格" sheetId="3" r:id="rId3"/>
    <sheet name="波形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3" l="1"/>
  <c r="R10" i="3"/>
  <c r="R9" i="3"/>
  <c r="R8" i="3"/>
  <c r="R7" i="3"/>
  <c r="R6" i="3"/>
  <c r="R4" i="3"/>
  <c r="Q5" i="3"/>
  <c r="R5" i="3" s="1"/>
  <c r="Q6" i="3"/>
  <c r="Q7" i="3"/>
  <c r="Q8" i="3"/>
  <c r="Q9" i="3"/>
  <c r="Q10" i="3"/>
  <c r="Q11" i="3"/>
  <c r="Q4" i="3"/>
  <c r="AA25" i="3"/>
  <c r="AB25" i="3" s="1"/>
  <c r="AA24" i="3"/>
  <c r="AB24" i="3" s="1"/>
  <c r="AA23" i="3"/>
  <c r="AB23" i="3" s="1"/>
  <c r="AA22" i="3"/>
  <c r="AB22" i="3" s="1"/>
  <c r="AA21" i="3"/>
  <c r="AB21" i="3" s="1"/>
  <c r="AA20" i="3"/>
  <c r="AB20" i="3" s="1"/>
  <c r="AA19" i="3"/>
  <c r="AB19" i="3" s="1"/>
  <c r="AA18" i="3"/>
  <c r="AB18" i="3" s="1"/>
  <c r="Y5" i="3"/>
  <c r="Z5" i="3"/>
  <c r="Y6" i="3"/>
  <c r="Z6" i="3"/>
  <c r="Y7" i="3"/>
  <c r="Z7" i="3"/>
  <c r="Y8" i="3"/>
  <c r="Z8" i="3"/>
  <c r="Y9" i="3"/>
  <c r="Z9" i="3"/>
  <c r="Y10" i="3"/>
  <c r="Z10" i="3"/>
  <c r="Y11" i="3"/>
  <c r="Z11" i="3"/>
  <c r="Y4" i="3"/>
  <c r="Z4" i="3" s="1"/>
  <c r="F29" i="4"/>
  <c r="C29" i="4"/>
  <c r="F28" i="4"/>
  <c r="C28" i="4"/>
  <c r="H17" i="4"/>
  <c r="J19" i="4"/>
  <c r="J17" i="4"/>
  <c r="J15" i="4"/>
  <c r="H19" i="4"/>
  <c r="H15" i="4"/>
  <c r="F19" i="4"/>
  <c r="F17" i="4"/>
  <c r="D19" i="4"/>
  <c r="D17" i="4"/>
  <c r="B19" i="4"/>
  <c r="B17" i="4"/>
  <c r="F15" i="4"/>
  <c r="D15" i="4"/>
  <c r="B15" i="4"/>
  <c r="J13" i="4"/>
  <c r="H13" i="4"/>
  <c r="F13" i="4"/>
  <c r="D13" i="4"/>
  <c r="B13" i="4"/>
  <c r="J3" i="4"/>
  <c r="G3" i="4"/>
  <c r="H3" i="4" s="1"/>
  <c r="I3" i="4" s="1"/>
  <c r="D3" i="4"/>
  <c r="K7" i="2"/>
  <c r="L7" i="2"/>
  <c r="J7" i="2"/>
  <c r="B12" i="2"/>
  <c r="B13" i="2"/>
  <c r="B14" i="2"/>
  <c r="C12" i="2"/>
  <c r="C13" i="2"/>
  <c r="C14" i="2"/>
  <c r="D12" i="2"/>
  <c r="D13" i="2"/>
  <c r="D14" i="2"/>
  <c r="D11" i="2"/>
  <c r="C11" i="2"/>
  <c r="B11" i="2"/>
</calcChain>
</file>

<file path=xl/sharedStrings.xml><?xml version="1.0" encoding="utf-8"?>
<sst xmlns="http://schemas.openxmlformats.org/spreadsheetml/2006/main" count="566" uniqueCount="123">
  <si>
    <t>原始未优化</t>
  </si>
  <si>
    <t>第一次迭代优化</t>
  </si>
  <si>
    <t>第二次迭代优化</t>
  </si>
  <si>
    <t>第三次迭代优化（优化完成）</t>
  </si>
  <si>
    <t>修调</t>
  </si>
  <si>
    <t>加工时间</t>
  </si>
  <si>
    <t>提升时间</t>
  </si>
  <si>
    <t>效率提升百分比</t>
  </si>
  <si>
    <t>样本编号</t>
  </si>
  <si>
    <r>
      <t>载入</t>
    </r>
    <r>
      <rPr>
        <b/>
        <sz val="10.5"/>
        <color theme="1"/>
        <rFont val="Calibri"/>
        <family val="2"/>
      </rPr>
      <t>I</t>
    </r>
    <r>
      <rPr>
        <b/>
        <sz val="10.5"/>
        <color theme="1"/>
        <rFont val="宋体"/>
        <family val="3"/>
        <charset val="134"/>
      </rPr>
      <t>代码首次运行</t>
    </r>
  </si>
  <si>
    <t>图形</t>
    <phoneticPr fontId="1" type="noConversion"/>
  </si>
  <si>
    <t>正负标志</t>
    <phoneticPr fontId="1" type="noConversion"/>
  </si>
  <si>
    <t>3号机床（SN:37E9157C372BAE0）</t>
    <phoneticPr fontId="1" type="noConversion"/>
  </si>
  <si>
    <t>负载电流均值</t>
    <phoneticPr fontId="1" type="noConversion"/>
  </si>
  <si>
    <t>/</t>
    <phoneticPr fontId="1" type="noConversion"/>
  </si>
  <si>
    <t>5min19s</t>
    <phoneticPr fontId="1" type="noConversion"/>
  </si>
  <si>
    <t>1min10s</t>
    <phoneticPr fontId="1" type="noConversion"/>
  </si>
  <si>
    <t>59s</t>
    <phoneticPr fontId="1" type="noConversion"/>
  </si>
  <si>
    <t>O1KC_D10R0.5.NC</t>
    <phoneticPr fontId="1" type="noConversion"/>
  </si>
  <si>
    <t>加工时间</t>
    <phoneticPr fontId="1" type="noConversion"/>
  </si>
  <si>
    <t>O2KC_D6.NC</t>
    <phoneticPr fontId="1" type="noConversion"/>
  </si>
  <si>
    <t>O3KC_D4.NC</t>
    <phoneticPr fontId="1" type="noConversion"/>
  </si>
  <si>
    <t>O6LUNKUOC_D12.NC</t>
    <phoneticPr fontId="1" type="noConversion"/>
  </si>
  <si>
    <t>2号机床</t>
    <phoneticPr fontId="1" type="noConversion"/>
  </si>
  <si>
    <t>3号机床</t>
  </si>
  <si>
    <t>4号机床</t>
  </si>
  <si>
    <t>程序名</t>
    <phoneticPr fontId="1" type="noConversion"/>
  </si>
  <si>
    <t>结论：
1.2号和3号机床差值对比额定电流(25.1A)比值：
2.2号和4号机床差值对比额定电流(25.1A)比值
3.3号和4号机床差值对比额定电流(25.1A)比值</t>
    <phoneticPr fontId="1" type="noConversion"/>
  </si>
  <si>
    <t>2号和3号偏差</t>
    <phoneticPr fontId="1" type="noConversion"/>
  </si>
  <si>
    <t>2号和4号偏差</t>
    <phoneticPr fontId="1" type="noConversion"/>
  </si>
  <si>
    <t>3号和4号偏差</t>
    <phoneticPr fontId="1" type="noConversion"/>
  </si>
  <si>
    <t>差值对比额定电流(25.1A)比值</t>
    <phoneticPr fontId="1" type="noConversion"/>
  </si>
  <si>
    <t>1min09s</t>
    <phoneticPr fontId="1" type="noConversion"/>
  </si>
  <si>
    <t>6min47s</t>
    <phoneticPr fontId="1" type="noConversion"/>
  </si>
  <si>
    <t>6min27s</t>
    <phoneticPr fontId="1" type="noConversion"/>
  </si>
  <si>
    <t>6min15s</t>
    <phoneticPr fontId="1" type="noConversion"/>
  </si>
  <si>
    <t>5min17s</t>
    <phoneticPr fontId="1" type="noConversion"/>
  </si>
  <si>
    <t>50s</t>
    <phoneticPr fontId="1" type="noConversion"/>
  </si>
  <si>
    <t>AFC2_20250701114933</t>
    <phoneticPr fontId="1" type="noConversion"/>
  </si>
  <si>
    <t>AFC2_20250701114745</t>
    <phoneticPr fontId="1" type="noConversion"/>
  </si>
  <si>
    <t>AFC2_20250701114123</t>
    <phoneticPr fontId="1" type="noConversion"/>
  </si>
  <si>
    <t>AFC2_20250701113134</t>
    <phoneticPr fontId="1" type="noConversion"/>
  </si>
  <si>
    <t>AFC2_20250701112012</t>
    <phoneticPr fontId="1" type="noConversion"/>
  </si>
  <si>
    <t>AFC2_20250701111633</t>
    <phoneticPr fontId="1" type="noConversion"/>
  </si>
  <si>
    <t>AFC2_20250701110545</t>
    <phoneticPr fontId="1" type="noConversion"/>
  </si>
  <si>
    <t>AFC2_20250701105745</t>
    <phoneticPr fontId="1" type="noConversion"/>
  </si>
  <si>
    <t>AFC2_20250701104616</t>
    <phoneticPr fontId="1" type="noConversion"/>
  </si>
  <si>
    <t>AFC2_20250701095055</t>
    <phoneticPr fontId="1" type="noConversion"/>
  </si>
  <si>
    <t>AFC2_20250701094320</t>
    <phoneticPr fontId="1" type="noConversion"/>
  </si>
  <si>
    <t>AFC2_20250701093357</t>
    <phoneticPr fontId="1" type="noConversion"/>
  </si>
  <si>
    <t>正样本</t>
    <phoneticPr fontId="1" type="noConversion"/>
  </si>
  <si>
    <t>9s</t>
    <phoneticPr fontId="1" type="noConversion"/>
  </si>
  <si>
    <t>2s</t>
    <phoneticPr fontId="1" type="noConversion"/>
  </si>
  <si>
    <t>AFC_DONE_20250701144441</t>
    <phoneticPr fontId="1" type="noConversion"/>
  </si>
  <si>
    <t>AFC_DONE_20250701144154</t>
    <phoneticPr fontId="1" type="noConversion"/>
  </si>
  <si>
    <t>负样本</t>
    <phoneticPr fontId="1" type="noConversion"/>
  </si>
  <si>
    <t>高科样本库异常</t>
    <phoneticPr fontId="1" type="noConversion"/>
  </si>
  <si>
    <t>5min16s</t>
    <phoneticPr fontId="1" type="noConversion"/>
  </si>
  <si>
    <t>3s</t>
    <phoneticPr fontId="1" type="noConversion"/>
  </si>
  <si>
    <t>20s</t>
    <phoneticPr fontId="1" type="noConversion"/>
  </si>
  <si>
    <t>32s</t>
    <phoneticPr fontId="1" type="noConversion"/>
  </si>
  <si>
    <t>45s</t>
    <phoneticPr fontId="1" type="noConversion"/>
  </si>
  <si>
    <t>14s</t>
    <phoneticPr fontId="1" type="noConversion"/>
  </si>
  <si>
    <t>3号机</t>
    <phoneticPr fontId="1" type="noConversion"/>
  </si>
  <si>
    <t>4号机</t>
    <phoneticPr fontId="1" type="noConversion"/>
  </si>
  <si>
    <t>6min47s</t>
  </si>
  <si>
    <t>样本库异常</t>
    <phoneticPr fontId="1" type="noConversion"/>
  </si>
  <si>
    <t>6min28s</t>
    <phoneticPr fontId="1" type="noConversion"/>
  </si>
  <si>
    <t>19s</t>
    <phoneticPr fontId="1" type="noConversion"/>
  </si>
  <si>
    <t>AFC2_20250701162506</t>
    <phoneticPr fontId="1" type="noConversion"/>
  </si>
  <si>
    <t>6min16s</t>
    <phoneticPr fontId="1" type="noConversion"/>
  </si>
  <si>
    <t>31s</t>
    <phoneticPr fontId="1" type="noConversion"/>
  </si>
  <si>
    <t>AFC2_20250701165116</t>
    <phoneticPr fontId="1" type="noConversion"/>
  </si>
  <si>
    <t>AFC_DONE_20250701171736</t>
    <phoneticPr fontId="1" type="noConversion"/>
  </si>
  <si>
    <t>机床</t>
    <phoneticPr fontId="1" type="noConversion"/>
  </si>
  <si>
    <t>3C手机壳3号4号机床加工对比-O1KC_D10R0.5.NC</t>
    <phoneticPr fontId="1" type="noConversion"/>
  </si>
  <si>
    <r>
      <t>载入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代码首次运行</t>
    </r>
  </si>
  <si>
    <t>3C手机壳3号4号机床加工对比-O6LUNKUOC_D12.NC</t>
    <phoneticPr fontId="1" type="noConversion"/>
  </si>
  <si>
    <t>3C手机壳3号4号机床加工对比-O3KC_D4.NC</t>
    <phoneticPr fontId="1" type="noConversion"/>
  </si>
  <si>
    <t>3C手机壳3号4号机床加工对比-O2KC_D6.NC</t>
    <phoneticPr fontId="1" type="noConversion"/>
  </si>
  <si>
    <t>5min20s</t>
    <phoneticPr fontId="1" type="noConversion"/>
  </si>
  <si>
    <t>5min18s</t>
  </si>
  <si>
    <t>AFC2_20250701160350</t>
    <phoneticPr fontId="1" type="noConversion"/>
  </si>
  <si>
    <t>AFC2_20250701163422</t>
    <phoneticPr fontId="1" type="noConversion"/>
  </si>
  <si>
    <t xml:space="preserve">	AFC2_20250701165915</t>
    <phoneticPr fontId="1" type="noConversion"/>
  </si>
  <si>
    <t>AFC_DONE_20250701175136</t>
    <phoneticPr fontId="1" type="noConversion"/>
  </si>
  <si>
    <t>AFC2_20250701161051</t>
    <phoneticPr fontId="1" type="noConversion"/>
  </si>
  <si>
    <t>AFC2_20250701164126</t>
    <phoneticPr fontId="1" type="noConversion"/>
  </si>
  <si>
    <t>AFC2_20250701170657</t>
    <phoneticPr fontId="1" type="noConversion"/>
  </si>
  <si>
    <t>AFC_DONE_20250701175833</t>
    <phoneticPr fontId="1" type="noConversion"/>
  </si>
  <si>
    <t>59S</t>
  </si>
  <si>
    <t>51s</t>
    <phoneticPr fontId="1" type="noConversion"/>
  </si>
  <si>
    <t>8s</t>
    <phoneticPr fontId="1" type="noConversion"/>
  </si>
  <si>
    <t>AFC2_20250701161340</t>
    <phoneticPr fontId="1" type="noConversion"/>
  </si>
  <si>
    <t>AFC2_20250701164354</t>
    <phoneticPr fontId="1" type="noConversion"/>
  </si>
  <si>
    <t>AFC2_20250701170927</t>
    <phoneticPr fontId="1" type="noConversion"/>
  </si>
  <si>
    <t>AFC_DONE_20250701180059</t>
    <phoneticPr fontId="1" type="noConversion"/>
  </si>
  <si>
    <t>0s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</si>
  <si>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</si>
  <si>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</si>
  <si>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</si>
  <si>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3号机床</t>
    <phoneticPr fontId="1" type="noConversion"/>
  </si>
  <si>
    <t>4号机床</t>
    <phoneticPr fontId="1" type="noConversion"/>
  </si>
  <si>
    <t>差异</t>
    <phoneticPr fontId="1" type="noConversion"/>
  </si>
  <si>
    <t>差异%</t>
    <phoneticPr fontId="1" type="noConversion"/>
  </si>
  <si>
    <r>
      <t>载入</t>
    </r>
    <r>
      <rPr>
        <sz val="10.5"/>
        <color theme="1"/>
        <rFont val="宋体"/>
        <family val="2"/>
        <charset val="134"/>
      </rPr>
      <t>I</t>
    </r>
    <r>
      <rPr>
        <sz val="10.5"/>
        <color theme="1"/>
        <rFont val="宋体"/>
        <family val="3"/>
        <charset val="134"/>
      </rPr>
      <t>代码首次运行</t>
    </r>
    <phoneticPr fontId="1" type="noConversion"/>
  </si>
  <si>
    <t>第一次迭代优化</t>
    <phoneticPr fontId="1" type="noConversion"/>
  </si>
  <si>
    <t>优化前</t>
    <phoneticPr fontId="1" type="noConversion"/>
  </si>
  <si>
    <t>优化后</t>
    <phoneticPr fontId="1" type="noConversion"/>
  </si>
  <si>
    <t>功率均值</t>
    <phoneticPr fontId="1" type="noConversion"/>
  </si>
  <si>
    <t>3号机床/4号机床负载电流均值提升对比</t>
  </si>
  <si>
    <t>G代码程序</t>
  </si>
  <si>
    <t>机床</t>
  </si>
  <si>
    <t>未优化</t>
  </si>
  <si>
    <t>优化完成</t>
  </si>
  <si>
    <t>优化提升</t>
  </si>
  <si>
    <t>O1KC_D10R0.5.NC</t>
  </si>
  <si>
    <t>O2KC_D6.NC</t>
  </si>
  <si>
    <t>O3KC_D4.NC</t>
  </si>
  <si>
    <t>O6LUNKUOC_D12.NC</t>
  </si>
  <si>
    <t>首次运行</t>
    <phoneticPr fontId="1" type="noConversion"/>
  </si>
  <si>
    <t>3号机床/4号机床功率均值提升对比</t>
  </si>
  <si>
    <t>提升百分比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</si>
</sst>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%"/>
    <numFmt numFmtId="177" formatCode="0.0%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0.5"/>
      <color theme="1"/>
      <name val="宋体"/>
      <family val="3"/>
      <charset val="134"/>
    </font>
    <font>
      <b/>
      <sz val="10.5"/>
      <color theme="1"/>
      <name val="Calibri"/>
      <family val="2"/>
    </font>
    <font>
      <sz val="16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2"/>
      <charset val="134"/>
    </font>
    <font>
      <sz val="12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76" fontId="0" fillId="0" borderId="0" xfId="0" applyNumberFormat="1"/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0" borderId="1" xfId="0" applyNumberFormat="1" applyBorder="1"/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10" fontId="10" fillId="0" borderId="10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9" fontId="7" fillId="0" borderId="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selection activeCell="C4" sqref="C4"/>
    </sheetView>
  </sheetViews>
  <sheetFormatPr defaultRowHeight="14" x14ac:dyDescent="0.3"/>
  <cols>
    <col min="1" max="5" width="20.58203125" customWidth="1"/>
    <col min="6" max="6" width="27.58203125" customWidth="1"/>
  </cols>
  <sheetData>
    <row r="1" spans="1:12" ht="30.5" customHeight="1" x14ac:dyDescent="0.3">
      <c r="A1" s="24" t="s">
        <v>12</v>
      </c>
      <c r="B1" s="24"/>
      <c r="C1" s="24"/>
      <c r="D1" s="24"/>
      <c r="E1" s="24"/>
      <c r="F1" s="24"/>
    </row>
    <row r="2" spans="1:12" ht="30" customHeight="1" x14ac:dyDescent="0.3">
      <c r="A2" s="4" t="s">
        <v>18</v>
      </c>
      <c r="B2" s="2" t="s">
        <v>0</v>
      </c>
      <c r="C2" s="2" t="s">
        <v>9</v>
      </c>
      <c r="D2" s="2" t="s">
        <v>1</v>
      </c>
      <c r="E2" s="2" t="s">
        <v>2</v>
      </c>
      <c r="F2" s="2" t="s">
        <v>3</v>
      </c>
      <c r="H2" s="5"/>
      <c r="L2" s="4" t="s">
        <v>18</v>
      </c>
    </row>
    <row r="3" spans="1:12" ht="30" customHeight="1" x14ac:dyDescent="0.3">
      <c r="A3" s="2" t="s">
        <v>4</v>
      </c>
      <c r="B3" s="1">
        <v>100</v>
      </c>
      <c r="C3" s="1">
        <v>100</v>
      </c>
      <c r="D3" s="1">
        <v>125</v>
      </c>
      <c r="E3" s="1">
        <v>150</v>
      </c>
      <c r="F3" s="1">
        <v>150</v>
      </c>
      <c r="L3" s="4" t="s">
        <v>20</v>
      </c>
    </row>
    <row r="4" spans="1:12" ht="30" customHeight="1" x14ac:dyDescent="0.3">
      <c r="A4" s="2" t="s">
        <v>13</v>
      </c>
      <c r="B4" s="1">
        <v>0.56950000000000001</v>
      </c>
      <c r="C4" s="1">
        <v>0.54479999999999995</v>
      </c>
      <c r="D4" s="1">
        <v>0.54300000000000004</v>
      </c>
      <c r="E4" s="1">
        <v>0.54390000000000005</v>
      </c>
      <c r="F4" s="1">
        <v>0.56699999999999995</v>
      </c>
      <c r="L4" s="4" t="s">
        <v>21</v>
      </c>
    </row>
    <row r="5" spans="1:12" ht="30" customHeight="1" x14ac:dyDescent="0.3">
      <c r="A5" s="2" t="s">
        <v>19</v>
      </c>
      <c r="B5" s="1" t="s">
        <v>33</v>
      </c>
      <c r="C5" s="1" t="s">
        <v>33</v>
      </c>
      <c r="D5" s="1" t="s">
        <v>34</v>
      </c>
      <c r="E5" s="1" t="s">
        <v>35</v>
      </c>
      <c r="F5" s="1" t="s">
        <v>35</v>
      </c>
      <c r="H5">
        <v>407</v>
      </c>
      <c r="I5">
        <v>387</v>
      </c>
      <c r="J5">
        <v>375</v>
      </c>
      <c r="L5" s="4" t="s">
        <v>22</v>
      </c>
    </row>
    <row r="6" spans="1:12" ht="30" customHeight="1" x14ac:dyDescent="0.3">
      <c r="A6" s="2" t="s">
        <v>6</v>
      </c>
      <c r="B6" s="1" t="s">
        <v>14</v>
      </c>
      <c r="C6" s="1" t="s">
        <v>14</v>
      </c>
      <c r="D6" s="1" t="s">
        <v>59</v>
      </c>
      <c r="E6" s="1" t="s">
        <v>60</v>
      </c>
      <c r="F6" s="1" t="s">
        <v>60</v>
      </c>
    </row>
    <row r="7" spans="1:12" ht="30" customHeight="1" x14ac:dyDescent="0.3">
      <c r="A7" s="2" t="s">
        <v>7</v>
      </c>
      <c r="B7" s="1" t="s">
        <v>14</v>
      </c>
      <c r="C7" s="3" t="s">
        <v>14</v>
      </c>
      <c r="D7" s="13">
        <v>4.9000000000000002E-2</v>
      </c>
      <c r="E7" s="13">
        <v>7.8600000000000003E-2</v>
      </c>
      <c r="F7" s="13">
        <v>7.8600000000000003E-2</v>
      </c>
    </row>
    <row r="8" spans="1:12" ht="30" customHeight="1" x14ac:dyDescent="0.3">
      <c r="A8" s="2" t="s">
        <v>8</v>
      </c>
      <c r="B8" s="1" t="s">
        <v>14</v>
      </c>
      <c r="C8" s="1" t="s">
        <v>49</v>
      </c>
      <c r="D8" s="1" t="s">
        <v>45</v>
      </c>
      <c r="E8" s="1" t="s">
        <v>41</v>
      </c>
      <c r="F8" s="1" t="s">
        <v>56</v>
      </c>
    </row>
    <row r="9" spans="1:12" ht="30" customHeight="1" x14ac:dyDescent="0.3">
      <c r="A9" s="2" t="s">
        <v>11</v>
      </c>
      <c r="B9" s="1" t="s">
        <v>14</v>
      </c>
      <c r="C9" s="3" t="s">
        <v>50</v>
      </c>
      <c r="D9" s="3" t="s">
        <v>50</v>
      </c>
      <c r="E9" s="3" t="s">
        <v>50</v>
      </c>
      <c r="F9" s="1" t="s">
        <v>14</v>
      </c>
    </row>
    <row r="10" spans="1:12" ht="68" customHeight="1" x14ac:dyDescent="0.3">
      <c r="A10" s="2" t="s">
        <v>10</v>
      </c>
      <c r="B10" s="1"/>
      <c r="C10" s="1"/>
      <c r="D10" s="1"/>
      <c r="E10" s="1"/>
      <c r="F10" s="1"/>
    </row>
    <row r="11" spans="1:12" x14ac:dyDescent="0.3">
      <c r="A11" s="6"/>
      <c r="B11" s="6"/>
      <c r="C11" s="6"/>
      <c r="D11" s="6"/>
      <c r="E11" s="6"/>
      <c r="F11" s="6"/>
    </row>
    <row r="12" spans="1:12" ht="30" customHeight="1" x14ac:dyDescent="0.3">
      <c r="A12" s="4" t="s">
        <v>20</v>
      </c>
      <c r="B12" s="2" t="s">
        <v>0</v>
      </c>
      <c r="C12" s="2" t="s">
        <v>9</v>
      </c>
      <c r="D12" s="2" t="s">
        <v>1</v>
      </c>
      <c r="E12" s="2" t="s">
        <v>2</v>
      </c>
      <c r="F12" s="2" t="s">
        <v>3</v>
      </c>
      <c r="H12" s="5"/>
    </row>
    <row r="13" spans="1:12" ht="30" customHeight="1" x14ac:dyDescent="0.3">
      <c r="A13" s="2" t="s">
        <v>4</v>
      </c>
      <c r="B13" s="1">
        <v>100</v>
      </c>
      <c r="C13" s="1">
        <v>100</v>
      </c>
      <c r="D13" s="1">
        <v>125</v>
      </c>
      <c r="E13" s="1">
        <v>150</v>
      </c>
      <c r="F13" s="1">
        <v>150</v>
      </c>
    </row>
    <row r="14" spans="1:12" ht="30" customHeight="1" x14ac:dyDescent="0.3">
      <c r="A14" s="2" t="s">
        <v>13</v>
      </c>
      <c r="B14" s="6">
        <v>0.29480000000000001</v>
      </c>
      <c r="C14" s="6">
        <v>0.31290000000000001</v>
      </c>
      <c r="D14" s="6">
        <v>0.31330000000000002</v>
      </c>
      <c r="E14" s="6">
        <v>0.29509999999999997</v>
      </c>
      <c r="F14" s="1">
        <v>0.28839999999999999</v>
      </c>
    </row>
    <row r="15" spans="1:12" ht="30" customHeight="1" x14ac:dyDescent="0.3">
      <c r="A15" s="2" t="s">
        <v>5</v>
      </c>
      <c r="B15" s="1" t="s">
        <v>15</v>
      </c>
      <c r="C15" s="1" t="s">
        <v>15</v>
      </c>
      <c r="D15" s="1" t="s">
        <v>36</v>
      </c>
      <c r="E15" s="1" t="s">
        <v>57</v>
      </c>
      <c r="F15" s="1" t="s">
        <v>57</v>
      </c>
      <c r="H15">
        <v>319</v>
      </c>
      <c r="I15">
        <v>317</v>
      </c>
      <c r="J15">
        <v>316</v>
      </c>
    </row>
    <row r="16" spans="1:12" ht="30" customHeight="1" x14ac:dyDescent="0.3">
      <c r="A16" s="2" t="s">
        <v>6</v>
      </c>
      <c r="B16" s="1" t="s">
        <v>14</v>
      </c>
      <c r="C16" s="1" t="s">
        <v>14</v>
      </c>
      <c r="D16" s="1" t="s">
        <v>52</v>
      </c>
      <c r="E16" s="1" t="s">
        <v>58</v>
      </c>
      <c r="F16" s="1" t="s">
        <v>58</v>
      </c>
    </row>
    <row r="17" spans="1:8" ht="30" customHeight="1" x14ac:dyDescent="0.3">
      <c r="A17" s="2" t="s">
        <v>7</v>
      </c>
      <c r="B17" s="1" t="s">
        <v>14</v>
      </c>
      <c r="C17" s="3" t="s">
        <v>14</v>
      </c>
      <c r="D17" s="13">
        <v>6.3E-3</v>
      </c>
      <c r="E17" s="13">
        <v>9.4000000000000004E-3</v>
      </c>
      <c r="F17" s="13">
        <v>9.4000000000000004E-3</v>
      </c>
    </row>
    <row r="18" spans="1:8" ht="30" customHeight="1" x14ac:dyDescent="0.3">
      <c r="A18" s="2" t="s">
        <v>8</v>
      </c>
      <c r="B18" s="1" t="s">
        <v>14</v>
      </c>
      <c r="C18" s="1" t="s">
        <v>48</v>
      </c>
      <c r="D18" s="1" t="s">
        <v>44</v>
      </c>
      <c r="E18" s="1" t="s">
        <v>40</v>
      </c>
      <c r="F18" s="1" t="s">
        <v>56</v>
      </c>
    </row>
    <row r="19" spans="1:8" ht="30" customHeight="1" x14ac:dyDescent="0.3">
      <c r="A19" s="2" t="s">
        <v>11</v>
      </c>
      <c r="B19" s="1" t="s">
        <v>14</v>
      </c>
      <c r="C19" s="3" t="s">
        <v>50</v>
      </c>
      <c r="D19" s="3" t="s">
        <v>50</v>
      </c>
      <c r="E19" s="3" t="s">
        <v>50</v>
      </c>
      <c r="F19" s="1" t="s">
        <v>14</v>
      </c>
    </row>
    <row r="20" spans="1:8" ht="68" customHeight="1" x14ac:dyDescent="0.3">
      <c r="A20" s="2" t="s">
        <v>10</v>
      </c>
      <c r="B20" s="1"/>
      <c r="C20" s="1"/>
      <c r="D20" s="1"/>
      <c r="E20" s="1"/>
      <c r="F20" s="1"/>
    </row>
    <row r="21" spans="1:8" x14ac:dyDescent="0.3">
      <c r="A21" s="6"/>
      <c r="B21" s="6"/>
      <c r="C21" s="6"/>
      <c r="D21" s="6"/>
      <c r="E21" s="6"/>
      <c r="F21" s="6"/>
    </row>
    <row r="22" spans="1:8" ht="30" customHeight="1" x14ac:dyDescent="0.3">
      <c r="A22" s="4" t="s">
        <v>21</v>
      </c>
      <c r="B22" s="2" t="s">
        <v>0</v>
      </c>
      <c r="C22" s="2" t="s">
        <v>9</v>
      </c>
      <c r="D22" s="2" t="s">
        <v>1</v>
      </c>
      <c r="E22" s="2" t="s">
        <v>2</v>
      </c>
      <c r="F22" s="2" t="s">
        <v>3</v>
      </c>
      <c r="H22" s="5"/>
    </row>
    <row r="23" spans="1:8" ht="30" customHeight="1" x14ac:dyDescent="0.3">
      <c r="A23" s="2" t="s">
        <v>4</v>
      </c>
      <c r="B23" s="1">
        <v>100</v>
      </c>
      <c r="C23" s="1">
        <v>100</v>
      </c>
      <c r="D23" s="1">
        <v>125</v>
      </c>
      <c r="E23" s="1">
        <v>150</v>
      </c>
      <c r="F23" s="1">
        <v>150</v>
      </c>
    </row>
    <row r="24" spans="1:8" ht="30" customHeight="1" x14ac:dyDescent="0.3">
      <c r="A24" s="2" t="s">
        <v>13</v>
      </c>
      <c r="B24" s="6">
        <v>0.26669999999999999</v>
      </c>
      <c r="C24" s="6">
        <v>0.30580000000000002</v>
      </c>
      <c r="D24" s="6">
        <v>0.307</v>
      </c>
      <c r="E24" s="6">
        <v>0.27810000000000001</v>
      </c>
      <c r="F24" s="1">
        <v>0.29249999999999998</v>
      </c>
    </row>
    <row r="25" spans="1:8" ht="30" customHeight="1" x14ac:dyDescent="0.3">
      <c r="A25" s="2" t="s">
        <v>5</v>
      </c>
      <c r="B25" s="1" t="s">
        <v>32</v>
      </c>
      <c r="C25" s="1" t="s">
        <v>32</v>
      </c>
      <c r="D25" s="1" t="s">
        <v>32</v>
      </c>
      <c r="E25" s="1" t="s">
        <v>32</v>
      </c>
      <c r="F25" s="1" t="s">
        <v>32</v>
      </c>
    </row>
    <row r="26" spans="1:8" ht="30" customHeight="1" x14ac:dyDescent="0.3">
      <c r="A26" s="2" t="s">
        <v>6</v>
      </c>
      <c r="B26" s="1" t="s">
        <v>14</v>
      </c>
      <c r="C26" s="1" t="s">
        <v>14</v>
      </c>
      <c r="D26" s="1" t="s">
        <v>14</v>
      </c>
      <c r="E26" s="1" t="s">
        <v>14</v>
      </c>
      <c r="F26" s="1" t="s">
        <v>14</v>
      </c>
    </row>
    <row r="27" spans="1:8" ht="30" customHeight="1" x14ac:dyDescent="0.3">
      <c r="A27" s="2" t="s">
        <v>7</v>
      </c>
      <c r="B27" s="1" t="s">
        <v>14</v>
      </c>
      <c r="C27" s="1" t="s">
        <v>14</v>
      </c>
      <c r="D27" s="1" t="s">
        <v>14</v>
      </c>
      <c r="E27" s="1" t="s">
        <v>14</v>
      </c>
      <c r="F27" s="1" t="s">
        <v>14</v>
      </c>
    </row>
    <row r="28" spans="1:8" ht="30" customHeight="1" x14ac:dyDescent="0.3">
      <c r="A28" s="2" t="s">
        <v>8</v>
      </c>
      <c r="B28" s="1" t="s">
        <v>14</v>
      </c>
      <c r="C28" s="1" t="s">
        <v>47</v>
      </c>
      <c r="D28" s="1" t="s">
        <v>43</v>
      </c>
      <c r="E28" s="1" t="s">
        <v>39</v>
      </c>
      <c r="F28" s="1" t="s">
        <v>54</v>
      </c>
    </row>
    <row r="29" spans="1:8" ht="30" customHeight="1" x14ac:dyDescent="0.3">
      <c r="A29" s="2" t="s">
        <v>11</v>
      </c>
      <c r="B29" s="1" t="s">
        <v>14</v>
      </c>
      <c r="C29" s="3" t="s">
        <v>50</v>
      </c>
      <c r="D29" s="3" t="s">
        <v>50</v>
      </c>
      <c r="E29" s="3" t="s">
        <v>50</v>
      </c>
      <c r="F29" s="1" t="s">
        <v>55</v>
      </c>
    </row>
    <row r="30" spans="1:8" ht="68" customHeight="1" x14ac:dyDescent="0.3">
      <c r="A30" s="2" t="s">
        <v>10</v>
      </c>
      <c r="B30" s="1"/>
      <c r="C30" s="1"/>
      <c r="D30" s="1"/>
      <c r="E30" s="1"/>
      <c r="F30" s="1"/>
    </row>
    <row r="31" spans="1:8" x14ac:dyDescent="0.3">
      <c r="A31" s="6"/>
      <c r="B31" s="6"/>
      <c r="C31" s="6"/>
      <c r="D31" s="6"/>
      <c r="E31" s="6"/>
      <c r="F31" s="6"/>
    </row>
    <row r="32" spans="1:8" ht="30" customHeight="1" x14ac:dyDescent="0.3">
      <c r="A32" s="4" t="s">
        <v>22</v>
      </c>
      <c r="B32" s="2" t="s">
        <v>0</v>
      </c>
      <c r="C32" s="2" t="s">
        <v>9</v>
      </c>
      <c r="D32" s="2" t="s">
        <v>1</v>
      </c>
      <c r="E32" s="2" t="s">
        <v>2</v>
      </c>
      <c r="F32" s="2" t="s">
        <v>3</v>
      </c>
      <c r="H32" s="5"/>
    </row>
    <row r="33" spans="1:6" ht="30" customHeight="1" x14ac:dyDescent="0.3">
      <c r="A33" s="2" t="s">
        <v>4</v>
      </c>
      <c r="B33" s="1">
        <v>100</v>
      </c>
      <c r="C33" s="1">
        <v>100</v>
      </c>
      <c r="D33" s="1">
        <v>125</v>
      </c>
      <c r="E33" s="1">
        <v>150</v>
      </c>
      <c r="F33" s="1">
        <v>150</v>
      </c>
    </row>
    <row r="34" spans="1:6" ht="30" customHeight="1" x14ac:dyDescent="0.3">
      <c r="A34" s="2" t="s">
        <v>13</v>
      </c>
      <c r="B34" s="6">
        <v>0.4289</v>
      </c>
      <c r="C34" s="6">
        <v>0.33760000000000001</v>
      </c>
      <c r="D34" s="6">
        <v>0.37290000000000001</v>
      </c>
      <c r="E34" s="1">
        <v>0.4582</v>
      </c>
      <c r="F34" s="1">
        <v>0.42420000000000002</v>
      </c>
    </row>
    <row r="35" spans="1:6" ht="30" customHeight="1" x14ac:dyDescent="0.3">
      <c r="A35" s="2" t="s">
        <v>5</v>
      </c>
      <c r="B35" s="1" t="s">
        <v>17</v>
      </c>
      <c r="C35" s="1" t="s">
        <v>17</v>
      </c>
      <c r="D35" s="1" t="s">
        <v>37</v>
      </c>
      <c r="E35" s="1" t="s">
        <v>61</v>
      </c>
      <c r="F35" s="1" t="s">
        <v>61</v>
      </c>
    </row>
    <row r="36" spans="1:6" ht="30" customHeight="1" x14ac:dyDescent="0.3">
      <c r="A36" s="2" t="s">
        <v>6</v>
      </c>
      <c r="B36" s="1" t="s">
        <v>14</v>
      </c>
      <c r="C36" s="1" t="s">
        <v>14</v>
      </c>
      <c r="D36" s="1" t="s">
        <v>51</v>
      </c>
      <c r="E36" s="1" t="s">
        <v>62</v>
      </c>
      <c r="F36" s="1" t="s">
        <v>62</v>
      </c>
    </row>
    <row r="37" spans="1:6" ht="30" customHeight="1" x14ac:dyDescent="0.3">
      <c r="A37" s="2" t="s">
        <v>7</v>
      </c>
      <c r="B37" s="1" t="s">
        <v>14</v>
      </c>
      <c r="C37" s="1" t="s">
        <v>14</v>
      </c>
      <c r="D37" s="13">
        <v>0.1525</v>
      </c>
      <c r="E37" s="13">
        <v>0.23730000000000001</v>
      </c>
      <c r="F37" s="13">
        <v>0.23730000000000001</v>
      </c>
    </row>
    <row r="38" spans="1:6" ht="30" customHeight="1" x14ac:dyDescent="0.3">
      <c r="A38" s="2" t="s">
        <v>8</v>
      </c>
      <c r="B38" s="1" t="s">
        <v>14</v>
      </c>
      <c r="C38" s="1" t="s">
        <v>46</v>
      </c>
      <c r="D38" s="1" t="s">
        <v>42</v>
      </c>
      <c r="E38" s="1" t="s">
        <v>38</v>
      </c>
      <c r="F38" s="1" t="s">
        <v>53</v>
      </c>
    </row>
    <row r="39" spans="1:6" ht="30" customHeight="1" x14ac:dyDescent="0.3">
      <c r="A39" s="2" t="s">
        <v>11</v>
      </c>
      <c r="B39" s="1" t="s">
        <v>14</v>
      </c>
      <c r="C39" s="3" t="s">
        <v>50</v>
      </c>
      <c r="D39" s="3" t="s">
        <v>50</v>
      </c>
      <c r="E39" s="3" t="s">
        <v>50</v>
      </c>
      <c r="F39" s="1" t="s">
        <v>55</v>
      </c>
    </row>
    <row r="40" spans="1:6" ht="68" customHeight="1" x14ac:dyDescent="0.3">
      <c r="A40" s="2" t="s">
        <v>10</v>
      </c>
      <c r="B40" s="1"/>
      <c r="C40" s="1"/>
      <c r="D40" s="1"/>
      <c r="E40" s="1"/>
      <c r="F40" s="1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2D9C-B954-448C-960E-38B73FEAEDD2}">
  <dimension ref="A1:L19"/>
  <sheetViews>
    <sheetView workbookViewId="0">
      <selection activeCell="C23" sqref="C23"/>
    </sheetView>
  </sheetViews>
  <sheetFormatPr defaultRowHeight="14" x14ac:dyDescent="0.3"/>
  <cols>
    <col min="1" max="1" width="20.9140625" customWidth="1"/>
    <col min="2" max="2" width="18.33203125" customWidth="1"/>
    <col min="3" max="3" width="17.33203125" customWidth="1"/>
    <col min="4" max="4" width="21.33203125" customWidth="1"/>
    <col min="6" max="6" width="20.75" customWidth="1"/>
    <col min="10" max="10" width="16.5" customWidth="1"/>
    <col min="11" max="11" width="14.08203125" customWidth="1"/>
    <col min="12" max="12" width="13.75" customWidth="1"/>
  </cols>
  <sheetData>
    <row r="1" spans="1:12" x14ac:dyDescent="0.3">
      <c r="A1" s="25" t="s">
        <v>13</v>
      </c>
      <c r="B1" s="25"/>
      <c r="C1" s="25"/>
      <c r="D1" s="25"/>
      <c r="F1" s="25" t="s">
        <v>13</v>
      </c>
      <c r="G1" s="25"/>
      <c r="H1" s="25"/>
      <c r="I1" s="25"/>
      <c r="J1" s="28" t="s">
        <v>31</v>
      </c>
      <c r="K1" s="28"/>
      <c r="L1" s="28"/>
    </row>
    <row r="2" spans="1:12" ht="23.5" customHeight="1" x14ac:dyDescent="0.3">
      <c r="A2" s="7" t="s">
        <v>26</v>
      </c>
      <c r="B2" s="7" t="s">
        <v>23</v>
      </c>
      <c r="C2" s="7" t="s">
        <v>24</v>
      </c>
      <c r="D2" s="7" t="s">
        <v>25</v>
      </c>
      <c r="F2" s="7" t="s">
        <v>26</v>
      </c>
      <c r="G2" s="7" t="s">
        <v>23</v>
      </c>
      <c r="H2" s="7" t="s">
        <v>24</v>
      </c>
      <c r="I2" s="10" t="s">
        <v>25</v>
      </c>
      <c r="J2" s="7" t="s">
        <v>28</v>
      </c>
      <c r="K2" s="7" t="s">
        <v>29</v>
      </c>
      <c r="L2" s="7" t="s">
        <v>30</v>
      </c>
    </row>
    <row r="3" spans="1:12" x14ac:dyDescent="0.3">
      <c r="A3" s="8" t="s">
        <v>18</v>
      </c>
      <c r="B3" s="1">
        <v>0.50529999999999997</v>
      </c>
      <c r="C3" s="1">
        <v>0.56950000000000001</v>
      </c>
      <c r="D3" s="1">
        <v>0.53059999999999996</v>
      </c>
      <c r="F3" s="8" t="s">
        <v>18</v>
      </c>
      <c r="G3" s="1">
        <v>0.50529999999999997</v>
      </c>
      <c r="H3" s="1">
        <v>0.56950000000000001</v>
      </c>
      <c r="I3" s="11">
        <v>0.53059999999999996</v>
      </c>
      <c r="J3" s="12">
        <v>2.5577689243027899E-3</v>
      </c>
      <c r="K3" s="12">
        <v>1.5498007968127499E-3</v>
      </c>
      <c r="L3" s="12">
        <v>1.0079681274900393E-3</v>
      </c>
    </row>
    <row r="4" spans="1:12" x14ac:dyDescent="0.3">
      <c r="A4" s="8" t="s">
        <v>20</v>
      </c>
      <c r="B4" s="1">
        <v>0.2172</v>
      </c>
      <c r="C4" s="1">
        <v>0.29480000000000001</v>
      </c>
      <c r="D4" s="1">
        <v>0.30609999999999998</v>
      </c>
      <c r="F4" s="8" t="s">
        <v>20</v>
      </c>
      <c r="G4" s="1">
        <v>0.2172</v>
      </c>
      <c r="H4" s="1">
        <v>0.29480000000000001</v>
      </c>
      <c r="I4" s="11">
        <v>0.30609999999999998</v>
      </c>
      <c r="J4" s="12">
        <v>3.0916334661354582E-3</v>
      </c>
      <c r="K4" s="12">
        <v>4.5019920318725004E-4</v>
      </c>
      <c r="L4" s="12">
        <v>3.5418326693227083E-3</v>
      </c>
    </row>
    <row r="5" spans="1:12" x14ac:dyDescent="0.3">
      <c r="A5" s="8" t="s">
        <v>21</v>
      </c>
      <c r="B5" s="1">
        <v>0.22720000000000001</v>
      </c>
      <c r="C5" s="1">
        <v>0.26669999999999999</v>
      </c>
      <c r="D5" s="1">
        <v>0.30740000000000001</v>
      </c>
      <c r="F5" s="8" t="s">
        <v>21</v>
      </c>
      <c r="G5" s="1">
        <v>0.22720000000000001</v>
      </c>
      <c r="H5" s="1">
        <v>0.26669999999999999</v>
      </c>
      <c r="I5" s="11">
        <v>0.30740000000000001</v>
      </c>
      <c r="J5" s="12">
        <v>1.5737051792828675E-3</v>
      </c>
      <c r="K5" s="12">
        <v>1.6215139442231081E-3</v>
      </c>
      <c r="L5" s="12">
        <v>3.1952191235059759E-3</v>
      </c>
    </row>
    <row r="6" spans="1:12" x14ac:dyDescent="0.3">
      <c r="A6" s="8" t="s">
        <v>22</v>
      </c>
      <c r="B6" s="1">
        <v>0.30280000000000001</v>
      </c>
      <c r="C6" s="1">
        <v>0.4289</v>
      </c>
      <c r="D6" s="1">
        <v>0.37440000000000001</v>
      </c>
      <c r="F6" s="8" t="s">
        <v>22</v>
      </c>
      <c r="G6" s="1">
        <v>0.30280000000000001</v>
      </c>
      <c r="H6" s="1">
        <v>0.4289</v>
      </c>
      <c r="I6" s="11">
        <v>0.37440000000000001</v>
      </c>
      <c r="J6" s="12">
        <v>5.023904382470119E-3</v>
      </c>
      <c r="K6" s="12">
        <v>2.17131474103586E-3</v>
      </c>
      <c r="L6" s="12">
        <v>2.8525896414342625E-3</v>
      </c>
    </row>
    <row r="7" spans="1:12" ht="58.5" customHeight="1" x14ac:dyDescent="0.3">
      <c r="A7" s="26" t="s">
        <v>27</v>
      </c>
      <c r="B7" s="27"/>
      <c r="C7" s="27"/>
      <c r="D7" s="27"/>
      <c r="F7" s="26" t="s">
        <v>27</v>
      </c>
      <c r="G7" s="27"/>
      <c r="H7" s="27"/>
      <c r="I7" s="27"/>
      <c r="J7" s="9">
        <f>SUM(J3:J6)</f>
        <v>1.2247011952191234E-2</v>
      </c>
      <c r="K7" s="9">
        <f t="shared" ref="K7:L7" si="0">SUM(K3:K6)</f>
        <v>5.7928286852589684E-3</v>
      </c>
      <c r="L7" s="9">
        <f t="shared" si="0"/>
        <v>1.0597609561752985E-2</v>
      </c>
    </row>
    <row r="11" spans="1:12" x14ac:dyDescent="0.3">
      <c r="B11">
        <f>(D3-B3)/25.1</f>
        <v>1.0079681274900393E-3</v>
      </c>
      <c r="C11">
        <f>(C3-B3)/25.1</f>
        <v>2.5577689243027899E-3</v>
      </c>
      <c r="D11">
        <f>(D3-C3)/25.1</f>
        <v>-1.5498007968127508E-3</v>
      </c>
    </row>
    <row r="12" spans="1:12" x14ac:dyDescent="0.3">
      <c r="B12">
        <f t="shared" ref="B12:B14" si="1">(D4-B4)/25.1</f>
        <v>3.5418326693227083E-3</v>
      </c>
      <c r="C12">
        <f t="shared" ref="C12:C14" si="2">(C4-B4)/25.1</f>
        <v>3.0916334661354582E-3</v>
      </c>
      <c r="D12">
        <f t="shared" ref="D12:D14" si="3">(D4-C4)/25.1</f>
        <v>4.5019920318725004E-4</v>
      </c>
    </row>
    <row r="13" spans="1:12" x14ac:dyDescent="0.3">
      <c r="B13">
        <f t="shared" si="1"/>
        <v>3.1952191235059759E-3</v>
      </c>
      <c r="C13">
        <f t="shared" si="2"/>
        <v>1.5737051792828675E-3</v>
      </c>
      <c r="D13">
        <f t="shared" si="3"/>
        <v>1.6215139442231081E-3</v>
      </c>
    </row>
    <row r="14" spans="1:12" x14ac:dyDescent="0.3">
      <c r="B14">
        <f t="shared" si="1"/>
        <v>2.8525896414342625E-3</v>
      </c>
      <c r="C14">
        <f t="shared" si="2"/>
        <v>5.023904382470119E-3</v>
      </c>
      <c r="D14">
        <f t="shared" si="3"/>
        <v>-2.1713147410358561E-3</v>
      </c>
    </row>
    <row r="16" spans="1:12" x14ac:dyDescent="0.3">
      <c r="B16" s="9">
        <v>1.0079681274900393E-3</v>
      </c>
      <c r="C16" s="9">
        <v>2.5577689243027899E-3</v>
      </c>
      <c r="D16" s="9">
        <v>-1.5498007968127508E-3</v>
      </c>
    </row>
    <row r="17" spans="2:4" x14ac:dyDescent="0.3">
      <c r="B17" s="9">
        <v>3.5418326693227083E-3</v>
      </c>
      <c r="C17" s="9">
        <v>3.0916334661354582E-3</v>
      </c>
      <c r="D17" s="9">
        <v>4.5019920318725004E-4</v>
      </c>
    </row>
    <row r="18" spans="2:4" x14ac:dyDescent="0.3">
      <c r="B18" s="9">
        <v>3.1952191235059759E-3</v>
      </c>
      <c r="C18" s="9">
        <v>1.5737051792828675E-3</v>
      </c>
      <c r="D18" s="9">
        <v>1.6215139442231081E-3</v>
      </c>
    </row>
    <row r="19" spans="2:4" x14ac:dyDescent="0.3">
      <c r="B19" s="9">
        <v>2.8525896414342625E-3</v>
      </c>
      <c r="C19" s="9">
        <v>5.023904382470119E-3</v>
      </c>
      <c r="D19" s="9">
        <v>-2.1713147410358561E-3</v>
      </c>
    </row>
  </sheetData>
  <mergeCells count="5">
    <mergeCell ref="A1:D1"/>
    <mergeCell ref="A7:D7"/>
    <mergeCell ref="F1:I1"/>
    <mergeCell ref="F7:I7"/>
    <mergeCell ref="J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A702-9FAE-4189-A95E-B89F38C625D2}">
  <dimension ref="A1:AB47"/>
  <sheetViews>
    <sheetView tabSelected="1" workbookViewId="0">
      <selection activeCell="R8" sqref="R8"/>
    </sheetView>
  </sheetViews>
  <sheetFormatPr defaultRowHeight="14" x14ac:dyDescent="0.3"/>
  <sheetData>
    <row r="1" spans="1:27" ht="21" customHeight="1" thickBot="1" x14ac:dyDescent="0.35">
      <c r="A1" s="29" t="s">
        <v>75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27" ht="54" customHeight="1" thickBot="1" x14ac:dyDescent="0.35">
      <c r="A2" s="14"/>
      <c r="B2" s="30" t="s">
        <v>0</v>
      </c>
      <c r="C2" s="30"/>
      <c r="D2" s="30" t="s">
        <v>76</v>
      </c>
      <c r="E2" s="30"/>
      <c r="F2" s="30" t="s">
        <v>1</v>
      </c>
      <c r="G2" s="30"/>
      <c r="H2" s="30" t="s">
        <v>2</v>
      </c>
      <c r="I2" s="30"/>
      <c r="J2" s="30" t="s">
        <v>3</v>
      </c>
      <c r="K2" s="30"/>
      <c r="M2" s="37" t="s">
        <v>121</v>
      </c>
      <c r="N2" s="38"/>
      <c r="O2" s="38"/>
      <c r="P2" s="38"/>
      <c r="Q2" s="39"/>
      <c r="U2" s="37" t="s">
        <v>110</v>
      </c>
      <c r="V2" s="38"/>
      <c r="W2" s="38"/>
      <c r="X2" s="38"/>
      <c r="Y2" s="39"/>
    </row>
    <row r="3" spans="1:27" ht="30.5" thickBot="1" x14ac:dyDescent="0.35">
      <c r="A3" s="14" t="s">
        <v>74</v>
      </c>
      <c r="B3" s="7" t="s">
        <v>63</v>
      </c>
      <c r="C3" s="7" t="s">
        <v>64</v>
      </c>
      <c r="D3" s="7" t="s">
        <v>63</v>
      </c>
      <c r="E3" s="7" t="s">
        <v>64</v>
      </c>
      <c r="F3" s="7" t="s">
        <v>63</v>
      </c>
      <c r="G3" s="7" t="s">
        <v>64</v>
      </c>
      <c r="H3" s="7" t="s">
        <v>63</v>
      </c>
      <c r="I3" s="7" t="s">
        <v>64</v>
      </c>
      <c r="J3" s="7" t="s">
        <v>63</v>
      </c>
      <c r="K3" s="7" t="s">
        <v>64</v>
      </c>
      <c r="M3" s="51" t="s">
        <v>111</v>
      </c>
      <c r="N3" s="52" t="s">
        <v>112</v>
      </c>
      <c r="O3" s="34" t="s">
        <v>113</v>
      </c>
      <c r="P3" s="34" t="s">
        <v>114</v>
      </c>
      <c r="Q3" s="34" t="s">
        <v>122</v>
      </c>
      <c r="R3" s="34" t="s">
        <v>122</v>
      </c>
      <c r="U3" s="32" t="s">
        <v>111</v>
      </c>
      <c r="V3" s="33" t="s">
        <v>112</v>
      </c>
      <c r="W3" s="34" t="s">
        <v>113</v>
      </c>
      <c r="X3" s="34" t="s">
        <v>114</v>
      </c>
      <c r="Y3" s="34" t="s">
        <v>115</v>
      </c>
      <c r="Z3" s="34" t="s">
        <v>115</v>
      </c>
    </row>
    <row r="4" spans="1:27" ht="15.5" thickBot="1" x14ac:dyDescent="0.35">
      <c r="A4" s="7" t="s">
        <v>4</v>
      </c>
      <c r="B4" s="14">
        <v>100</v>
      </c>
      <c r="C4" s="14">
        <v>100</v>
      </c>
      <c r="D4" s="14">
        <v>100</v>
      </c>
      <c r="E4" s="14">
        <v>100</v>
      </c>
      <c r="F4" s="14">
        <v>125</v>
      </c>
      <c r="G4" s="14">
        <v>125</v>
      </c>
      <c r="H4" s="14">
        <v>150</v>
      </c>
      <c r="I4" s="14">
        <v>150</v>
      </c>
      <c r="J4" s="14">
        <v>150</v>
      </c>
      <c r="K4" s="14">
        <v>150</v>
      </c>
      <c r="M4" s="54" t="s">
        <v>116</v>
      </c>
      <c r="N4" s="53" t="s">
        <v>24</v>
      </c>
      <c r="O4" s="14">
        <v>357</v>
      </c>
      <c r="P4" s="14">
        <v>392</v>
      </c>
      <c r="Q4" s="53">
        <f>P4-O4</f>
        <v>35</v>
      </c>
      <c r="R4" s="42">
        <f>Q4/O4</f>
        <v>9.8039215686274508E-2</v>
      </c>
      <c r="U4" s="40" t="s">
        <v>116</v>
      </c>
      <c r="V4" s="35" t="s">
        <v>24</v>
      </c>
      <c r="W4" s="36">
        <v>0.56950000000000001</v>
      </c>
      <c r="X4" s="35">
        <v>0.56699999999999995</v>
      </c>
      <c r="Y4" s="43">
        <f>X4-W4</f>
        <v>-2.5000000000000577E-3</v>
      </c>
      <c r="Z4" s="42">
        <f>Y4/W4</f>
        <v>-4.3898156277437364E-3</v>
      </c>
    </row>
    <row r="5" spans="1:27" ht="27.5" thickBot="1" x14ac:dyDescent="0.35">
      <c r="A5" s="7" t="s">
        <v>13</v>
      </c>
      <c r="B5" s="14">
        <v>0.56950000000000001</v>
      </c>
      <c r="C5" s="14">
        <v>0.53059999999999996</v>
      </c>
      <c r="D5" s="14">
        <v>0.54479999999999995</v>
      </c>
      <c r="E5" s="14">
        <v>0.56299999999999994</v>
      </c>
      <c r="F5" s="14">
        <v>0.54300000000000004</v>
      </c>
      <c r="G5" s="14">
        <v>0.56059999999999999</v>
      </c>
      <c r="H5" s="14">
        <v>0.54390000000000005</v>
      </c>
      <c r="I5" s="14">
        <v>0.56889999999999996</v>
      </c>
      <c r="J5" s="14">
        <v>0.56699999999999995</v>
      </c>
      <c r="K5" s="14">
        <v>0.56240000000000001</v>
      </c>
      <c r="M5" s="55"/>
      <c r="N5" s="53" t="s">
        <v>25</v>
      </c>
      <c r="O5" s="14">
        <v>313</v>
      </c>
      <c r="P5" s="14">
        <v>337</v>
      </c>
      <c r="Q5" s="53">
        <f t="shared" ref="Q5:Q11" si="0">P5-O5</f>
        <v>24</v>
      </c>
      <c r="R5" s="42">
        <f t="shared" ref="R5:R11" si="1">Q5/O5</f>
        <v>7.6677316293929709E-2</v>
      </c>
      <c r="U5" s="41"/>
      <c r="V5" s="35" t="s">
        <v>25</v>
      </c>
      <c r="W5" s="35">
        <v>0.53059999999999996</v>
      </c>
      <c r="X5" s="35">
        <v>0.56240000000000001</v>
      </c>
      <c r="Y5" s="43">
        <f t="shared" ref="Y5:Y11" si="2">X5-W5</f>
        <v>3.180000000000005E-2</v>
      </c>
      <c r="Z5" s="42">
        <f t="shared" ref="Z5:Z11" si="3">Y5/W5</f>
        <v>5.9932152280437342E-2</v>
      </c>
    </row>
    <row r="6" spans="1:27" ht="15.5" thickBot="1" x14ac:dyDescent="0.35">
      <c r="A6" s="23" t="s">
        <v>109</v>
      </c>
      <c r="B6" s="14">
        <v>423</v>
      </c>
      <c r="C6" s="14">
        <v>337</v>
      </c>
      <c r="D6" s="14">
        <v>357</v>
      </c>
      <c r="E6" s="14">
        <v>413</v>
      </c>
      <c r="F6" s="14">
        <v>355</v>
      </c>
      <c r="G6" s="14">
        <v>340</v>
      </c>
      <c r="H6" s="14">
        <v>355</v>
      </c>
      <c r="I6" s="14">
        <v>341</v>
      </c>
      <c r="J6" s="14">
        <v>392</v>
      </c>
      <c r="K6" s="14">
        <v>337</v>
      </c>
      <c r="M6" s="54" t="s">
        <v>117</v>
      </c>
      <c r="N6" s="53" t="s">
        <v>24</v>
      </c>
      <c r="O6" s="21">
        <v>230</v>
      </c>
      <c r="P6" s="14">
        <v>258</v>
      </c>
      <c r="Q6" s="53">
        <f t="shared" si="0"/>
        <v>28</v>
      </c>
      <c r="R6" s="42">
        <f t="shared" si="1"/>
        <v>0.12173913043478261</v>
      </c>
      <c r="U6" s="40" t="s">
        <v>117</v>
      </c>
      <c r="V6" s="35" t="s">
        <v>24</v>
      </c>
      <c r="W6" s="35">
        <v>0.29480000000000001</v>
      </c>
      <c r="X6" s="35">
        <v>0.28839999999999999</v>
      </c>
      <c r="Y6" s="43">
        <f t="shared" si="2"/>
        <v>-6.4000000000000168E-3</v>
      </c>
      <c r="Z6" s="42">
        <f t="shared" si="3"/>
        <v>-2.1709633649932215E-2</v>
      </c>
    </row>
    <row r="7" spans="1:27" ht="15.5" thickBot="1" x14ac:dyDescent="0.35">
      <c r="A7" s="7" t="s">
        <v>19</v>
      </c>
      <c r="B7" s="14" t="s">
        <v>33</v>
      </c>
      <c r="C7" s="14" t="s">
        <v>65</v>
      </c>
      <c r="D7" s="14" t="s">
        <v>33</v>
      </c>
      <c r="E7" s="14" t="s">
        <v>65</v>
      </c>
      <c r="F7" s="14" t="s">
        <v>34</v>
      </c>
      <c r="G7" s="18" t="s">
        <v>67</v>
      </c>
      <c r="H7" s="14" t="s">
        <v>35</v>
      </c>
      <c r="I7" s="18" t="s">
        <v>70</v>
      </c>
      <c r="J7" s="14" t="s">
        <v>35</v>
      </c>
      <c r="K7" s="18" t="s">
        <v>70</v>
      </c>
      <c r="M7" s="55"/>
      <c r="N7" s="53" t="s">
        <v>25</v>
      </c>
      <c r="O7" s="14">
        <v>211</v>
      </c>
      <c r="P7" s="14">
        <v>201</v>
      </c>
      <c r="Q7" s="53">
        <f t="shared" si="0"/>
        <v>-10</v>
      </c>
      <c r="R7" s="42">
        <f t="shared" si="1"/>
        <v>-4.7393364928909949E-2</v>
      </c>
      <c r="U7" s="41"/>
      <c r="V7" s="35" t="s">
        <v>25</v>
      </c>
      <c r="W7" s="35">
        <v>0.30609999999999998</v>
      </c>
      <c r="X7" s="35">
        <v>0.30659999999999998</v>
      </c>
      <c r="Y7" s="43">
        <f t="shared" si="2"/>
        <v>5.0000000000000044E-4</v>
      </c>
      <c r="Z7" s="42">
        <f t="shared" si="3"/>
        <v>1.6334531198954605E-3</v>
      </c>
    </row>
    <row r="8" spans="1:27" ht="15.5" thickBot="1" x14ac:dyDescent="0.35">
      <c r="A8" s="7" t="s">
        <v>6</v>
      </c>
      <c r="B8" s="14" t="s">
        <v>14</v>
      </c>
      <c r="C8" s="18" t="s">
        <v>14</v>
      </c>
      <c r="D8" s="14" t="s">
        <v>14</v>
      </c>
      <c r="E8" s="18" t="s">
        <v>14</v>
      </c>
      <c r="F8" s="14" t="s">
        <v>59</v>
      </c>
      <c r="G8" s="18" t="s">
        <v>68</v>
      </c>
      <c r="H8" s="14" t="s">
        <v>60</v>
      </c>
      <c r="I8" s="18" t="s">
        <v>71</v>
      </c>
      <c r="J8" s="14" t="s">
        <v>60</v>
      </c>
      <c r="K8" s="18" t="s">
        <v>71</v>
      </c>
      <c r="M8" s="54" t="s">
        <v>118</v>
      </c>
      <c r="N8" s="53" t="s">
        <v>24</v>
      </c>
      <c r="O8" s="21">
        <v>200</v>
      </c>
      <c r="P8" s="14">
        <v>245</v>
      </c>
      <c r="Q8" s="53">
        <f t="shared" si="0"/>
        <v>45</v>
      </c>
      <c r="R8" s="42">
        <f t="shared" si="1"/>
        <v>0.22500000000000001</v>
      </c>
      <c r="U8" s="40" t="s">
        <v>118</v>
      </c>
      <c r="V8" s="35" t="s">
        <v>24</v>
      </c>
      <c r="W8" s="35">
        <v>0.26669999999999999</v>
      </c>
      <c r="X8" s="35">
        <v>0.29249999999999998</v>
      </c>
      <c r="Y8" s="43">
        <f t="shared" si="2"/>
        <v>2.579999999999999E-2</v>
      </c>
      <c r="Z8" s="42">
        <f t="shared" si="3"/>
        <v>9.6737907761529768E-2</v>
      </c>
    </row>
    <row r="9" spans="1:27" ht="27.5" thickBot="1" x14ac:dyDescent="0.35">
      <c r="A9" s="7" t="s">
        <v>7</v>
      </c>
      <c r="B9" s="14" t="s">
        <v>14</v>
      </c>
      <c r="C9" s="18" t="s">
        <v>14</v>
      </c>
      <c r="D9" s="15" t="s">
        <v>14</v>
      </c>
      <c r="E9" s="19" t="s">
        <v>14</v>
      </c>
      <c r="F9" s="16">
        <v>4.9000000000000002E-2</v>
      </c>
      <c r="G9" s="16">
        <v>4.6699999999999998E-2</v>
      </c>
      <c r="H9" s="16">
        <v>7.8600000000000003E-2</v>
      </c>
      <c r="I9" s="16">
        <v>7.6200000000000004E-2</v>
      </c>
      <c r="J9" s="16">
        <v>7.8600000000000003E-2</v>
      </c>
      <c r="K9" s="16">
        <v>7.6200000000000004E-2</v>
      </c>
      <c r="M9" s="55"/>
      <c r="N9" s="53" t="s">
        <v>25</v>
      </c>
      <c r="O9" s="14">
        <v>171</v>
      </c>
      <c r="P9" s="14">
        <v>165</v>
      </c>
      <c r="Q9" s="53">
        <f t="shared" si="0"/>
        <v>-6</v>
      </c>
      <c r="R9" s="42">
        <f t="shared" si="1"/>
        <v>-3.5087719298245612E-2</v>
      </c>
      <c r="U9" s="41"/>
      <c r="V9" s="35" t="s">
        <v>25</v>
      </c>
      <c r="W9" s="35">
        <v>0.30740000000000001</v>
      </c>
      <c r="X9" s="35">
        <v>0.29020000000000001</v>
      </c>
      <c r="Y9" s="43">
        <f t="shared" si="2"/>
        <v>-1.7199999999999993E-2</v>
      </c>
      <c r="Z9" s="42">
        <f t="shared" si="3"/>
        <v>-5.5953155497722812E-2</v>
      </c>
    </row>
    <row r="10" spans="1:27" ht="52.5" customHeight="1" thickBot="1" x14ac:dyDescent="0.35">
      <c r="A10" s="7" t="s">
        <v>8</v>
      </c>
      <c r="B10" s="14" t="s">
        <v>14</v>
      </c>
      <c r="C10" s="18" t="s">
        <v>14</v>
      </c>
      <c r="D10" s="14" t="s">
        <v>49</v>
      </c>
      <c r="E10" s="18" t="s">
        <v>66</v>
      </c>
      <c r="F10" s="14" t="s">
        <v>45</v>
      </c>
      <c r="G10" s="18" t="s">
        <v>69</v>
      </c>
      <c r="H10" s="14" t="s">
        <v>41</v>
      </c>
      <c r="I10" s="18" t="s">
        <v>72</v>
      </c>
      <c r="J10" s="14" t="s">
        <v>56</v>
      </c>
      <c r="K10" s="18" t="s">
        <v>73</v>
      </c>
      <c r="M10" s="54" t="s">
        <v>119</v>
      </c>
      <c r="N10" s="53" t="s">
        <v>24</v>
      </c>
      <c r="O10" s="21">
        <v>465</v>
      </c>
      <c r="P10" s="14">
        <v>571</v>
      </c>
      <c r="Q10" s="53">
        <f t="shared" si="0"/>
        <v>106</v>
      </c>
      <c r="R10" s="42">
        <f t="shared" si="1"/>
        <v>0.22795698924731184</v>
      </c>
      <c r="U10" s="40" t="s">
        <v>119</v>
      </c>
      <c r="V10" s="35" t="s">
        <v>24</v>
      </c>
      <c r="W10" s="35">
        <v>0.4289</v>
      </c>
      <c r="X10" s="35">
        <v>0.37440000000000001</v>
      </c>
      <c r="Y10" s="43">
        <f t="shared" si="2"/>
        <v>-5.4499999999999993E-2</v>
      </c>
      <c r="Z10" s="42">
        <f t="shared" si="3"/>
        <v>-0.12706924691070179</v>
      </c>
    </row>
    <row r="11" spans="1:27" ht="15.5" thickBot="1" x14ac:dyDescent="0.35">
      <c r="A11" s="7" t="s">
        <v>11</v>
      </c>
      <c r="B11" s="14" t="s">
        <v>14</v>
      </c>
      <c r="C11" s="18" t="s">
        <v>14</v>
      </c>
      <c r="D11" s="15" t="s">
        <v>50</v>
      </c>
      <c r="E11" s="19" t="s">
        <v>14</v>
      </c>
      <c r="F11" s="15" t="s">
        <v>50</v>
      </c>
      <c r="G11" s="19" t="s">
        <v>50</v>
      </c>
      <c r="H11" s="15" t="s">
        <v>50</v>
      </c>
      <c r="I11" s="19" t="s">
        <v>50</v>
      </c>
      <c r="J11" s="14" t="s">
        <v>14</v>
      </c>
      <c r="K11" s="18" t="s">
        <v>55</v>
      </c>
      <c r="M11" s="55"/>
      <c r="N11" s="53" t="s">
        <v>25</v>
      </c>
      <c r="O11" s="14">
        <v>460</v>
      </c>
      <c r="P11" s="14">
        <v>518</v>
      </c>
      <c r="Q11" s="53">
        <f t="shared" si="0"/>
        <v>58</v>
      </c>
      <c r="R11" s="42">
        <f t="shared" si="1"/>
        <v>0.12608695652173912</v>
      </c>
      <c r="U11" s="41"/>
      <c r="V11" s="35" t="s">
        <v>25</v>
      </c>
      <c r="W11" s="35">
        <v>0.42420000000000002</v>
      </c>
      <c r="X11" s="35">
        <v>0.41920000000000002</v>
      </c>
      <c r="Y11" s="43">
        <f t="shared" si="2"/>
        <v>-5.0000000000000044E-3</v>
      </c>
      <c r="Z11" s="42">
        <f t="shared" si="3"/>
        <v>-1.1786892975011797E-2</v>
      </c>
    </row>
    <row r="12" spans="1:27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27" x14ac:dyDescent="0.3">
      <c r="A13" s="29" t="s">
        <v>79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27" x14ac:dyDescent="0.3">
      <c r="A14" s="14"/>
      <c r="B14" s="30" t="s">
        <v>0</v>
      </c>
      <c r="C14" s="30"/>
      <c r="D14" s="30" t="s">
        <v>76</v>
      </c>
      <c r="E14" s="30"/>
      <c r="F14" s="30" t="s">
        <v>1</v>
      </c>
      <c r="G14" s="30"/>
      <c r="H14" s="30" t="s">
        <v>2</v>
      </c>
      <c r="I14" s="30"/>
      <c r="J14" s="30" t="s">
        <v>3</v>
      </c>
      <c r="K14" s="30"/>
      <c r="M14" s="45"/>
      <c r="N14" s="45"/>
      <c r="O14" s="45"/>
      <c r="P14" s="45"/>
      <c r="Q14" s="45"/>
      <c r="R14" s="45"/>
      <c r="S14" s="45"/>
      <c r="T14" s="45"/>
    </row>
    <row r="15" spans="1:27" ht="14.5" thickBot="1" x14ac:dyDescent="0.35">
      <c r="A15" s="14" t="s">
        <v>74</v>
      </c>
      <c r="B15" s="7" t="s">
        <v>63</v>
      </c>
      <c r="C15" s="7" t="s">
        <v>64</v>
      </c>
      <c r="D15" s="7" t="s">
        <v>63</v>
      </c>
      <c r="E15" s="7" t="s">
        <v>64</v>
      </c>
      <c r="F15" s="7" t="s">
        <v>63</v>
      </c>
      <c r="G15" s="7" t="s">
        <v>64</v>
      </c>
      <c r="H15" s="7" t="s">
        <v>63</v>
      </c>
      <c r="I15" s="7" t="s">
        <v>64</v>
      </c>
      <c r="J15" s="7" t="s">
        <v>63</v>
      </c>
      <c r="K15" s="7" t="s">
        <v>64</v>
      </c>
      <c r="M15" s="45"/>
      <c r="N15" s="45"/>
      <c r="O15" s="45"/>
      <c r="P15" s="45"/>
      <c r="Q15" s="45"/>
      <c r="R15" s="45"/>
      <c r="S15" s="45"/>
      <c r="T15" s="45"/>
    </row>
    <row r="16" spans="1:27" ht="15.5" thickBot="1" x14ac:dyDescent="0.35">
      <c r="A16" s="7" t="s">
        <v>4</v>
      </c>
      <c r="B16" s="14">
        <v>100</v>
      </c>
      <c r="C16" s="14">
        <v>100</v>
      </c>
      <c r="D16" s="14">
        <v>100</v>
      </c>
      <c r="E16" s="14">
        <v>100</v>
      </c>
      <c r="F16" s="14">
        <v>125</v>
      </c>
      <c r="G16" s="14">
        <v>125</v>
      </c>
      <c r="H16" s="14">
        <v>150</v>
      </c>
      <c r="I16" s="14">
        <v>150</v>
      </c>
      <c r="J16" s="14">
        <v>150</v>
      </c>
      <c r="K16" s="14">
        <v>150</v>
      </c>
      <c r="M16" s="46"/>
      <c r="N16" s="46"/>
      <c r="O16" s="46"/>
      <c r="P16" s="46"/>
      <c r="Q16" s="46"/>
      <c r="R16" s="46"/>
      <c r="S16" s="46"/>
      <c r="T16" s="46"/>
      <c r="W16" s="37" t="s">
        <v>110</v>
      </c>
      <c r="X16" s="38"/>
      <c r="Y16" s="38"/>
      <c r="Z16" s="38"/>
      <c r="AA16" s="39"/>
    </row>
    <row r="17" spans="1:28" ht="30.5" thickBot="1" x14ac:dyDescent="0.35">
      <c r="A17" s="7" t="s">
        <v>13</v>
      </c>
      <c r="B17" s="21">
        <v>0.29480000000000001</v>
      </c>
      <c r="C17" s="14">
        <v>0.30609999999999998</v>
      </c>
      <c r="D17" s="21">
        <v>0.31290000000000001</v>
      </c>
      <c r="E17" s="14">
        <v>0.31900000000000001</v>
      </c>
      <c r="F17" s="21">
        <v>0.31330000000000002</v>
      </c>
      <c r="G17" s="14">
        <v>0.32890000000000003</v>
      </c>
      <c r="H17" s="21">
        <v>0.29509999999999997</v>
      </c>
      <c r="I17" s="14">
        <v>0.29880000000000001</v>
      </c>
      <c r="J17" s="14">
        <v>0.28839999999999999</v>
      </c>
      <c r="K17" s="14">
        <v>0.30659999999999998</v>
      </c>
      <c r="M17" s="46"/>
      <c r="N17" s="46"/>
      <c r="O17" s="46"/>
      <c r="P17" s="46"/>
      <c r="Q17" s="46"/>
      <c r="R17" s="46"/>
      <c r="S17" s="46"/>
      <c r="T17" s="46"/>
      <c r="W17" s="32" t="s">
        <v>111</v>
      </c>
      <c r="X17" s="33" t="s">
        <v>112</v>
      </c>
      <c r="Y17" s="44" t="s">
        <v>120</v>
      </c>
      <c r="Z17" s="34" t="s">
        <v>114</v>
      </c>
      <c r="AA17" s="34" t="s">
        <v>115</v>
      </c>
      <c r="AB17" s="34" t="s">
        <v>115</v>
      </c>
    </row>
    <row r="18" spans="1:28" ht="15.5" thickBot="1" x14ac:dyDescent="0.35">
      <c r="A18" s="23" t="s">
        <v>109</v>
      </c>
      <c r="B18" s="21">
        <v>317</v>
      </c>
      <c r="C18" s="14">
        <v>222</v>
      </c>
      <c r="D18" s="21">
        <v>230</v>
      </c>
      <c r="E18" s="14">
        <v>211</v>
      </c>
      <c r="F18" s="21">
        <v>234</v>
      </c>
      <c r="G18" s="14">
        <v>207</v>
      </c>
      <c r="H18" s="21">
        <v>265</v>
      </c>
      <c r="I18" s="14">
        <v>198</v>
      </c>
      <c r="J18" s="14">
        <v>258</v>
      </c>
      <c r="K18" s="14">
        <v>201</v>
      </c>
      <c r="M18" s="46"/>
      <c r="N18" s="46"/>
      <c r="O18" s="46"/>
      <c r="P18" s="46"/>
      <c r="Q18" s="46"/>
      <c r="R18" s="46"/>
      <c r="S18" s="46"/>
      <c r="T18" s="46"/>
      <c r="W18" s="40" t="s">
        <v>116</v>
      </c>
      <c r="X18" s="35" t="s">
        <v>24</v>
      </c>
      <c r="Y18" s="36">
        <v>0.54479999999999995</v>
      </c>
      <c r="Z18" s="35">
        <v>0.56699999999999995</v>
      </c>
      <c r="AA18" s="43">
        <f>Z18-Y18</f>
        <v>2.2199999999999998E-2</v>
      </c>
      <c r="AB18" s="42">
        <f>AA18/Y18</f>
        <v>4.0748898678414094E-2</v>
      </c>
    </row>
    <row r="19" spans="1:28" ht="15.5" thickBot="1" x14ac:dyDescent="0.35">
      <c r="A19" s="7" t="s">
        <v>19</v>
      </c>
      <c r="B19" s="14" t="s">
        <v>15</v>
      </c>
      <c r="C19" s="18" t="s">
        <v>80</v>
      </c>
      <c r="D19" s="14" t="s">
        <v>15</v>
      </c>
      <c r="E19" s="18" t="s">
        <v>80</v>
      </c>
      <c r="F19" s="14" t="s">
        <v>36</v>
      </c>
      <c r="G19" s="14" t="s">
        <v>81</v>
      </c>
      <c r="H19" s="14" t="s">
        <v>57</v>
      </c>
      <c r="I19" s="18" t="s">
        <v>36</v>
      </c>
      <c r="J19" s="14" t="s">
        <v>57</v>
      </c>
      <c r="K19" s="18" t="s">
        <v>36</v>
      </c>
      <c r="M19" s="47"/>
      <c r="N19" s="47"/>
      <c r="O19" s="47"/>
      <c r="P19" s="47"/>
      <c r="Q19" s="47"/>
      <c r="R19" s="47"/>
      <c r="S19" s="47"/>
      <c r="T19" s="47"/>
      <c r="W19" s="41"/>
      <c r="X19" s="35" t="s">
        <v>25</v>
      </c>
      <c r="Y19" s="14">
        <v>0.56299999999999994</v>
      </c>
      <c r="Z19" s="35">
        <v>0.56240000000000001</v>
      </c>
      <c r="AA19" s="43">
        <f t="shared" ref="AA19:AA25" si="4">Z19-Y19</f>
        <v>-5.9999999999993392E-4</v>
      </c>
      <c r="AB19" s="42">
        <f t="shared" ref="AB19:AB25" si="5">AA19/Y19</f>
        <v>-1.0657193605682663E-3</v>
      </c>
    </row>
    <row r="20" spans="1:28" ht="15.5" thickBot="1" x14ac:dyDescent="0.35">
      <c r="A20" s="7" t="s">
        <v>6</v>
      </c>
      <c r="B20" s="14" t="s">
        <v>14</v>
      </c>
      <c r="C20" s="18" t="s">
        <v>14</v>
      </c>
      <c r="D20" s="14" t="s">
        <v>14</v>
      </c>
      <c r="E20" s="18" t="s">
        <v>14</v>
      </c>
      <c r="F20" s="14" t="s">
        <v>52</v>
      </c>
      <c r="G20" s="18" t="s">
        <v>52</v>
      </c>
      <c r="H20" s="14" t="s">
        <v>58</v>
      </c>
      <c r="I20" s="18" t="s">
        <v>58</v>
      </c>
      <c r="J20" s="14" t="s">
        <v>58</v>
      </c>
      <c r="K20" s="18" t="s">
        <v>58</v>
      </c>
      <c r="M20" s="47"/>
      <c r="N20" s="47"/>
      <c r="O20" s="47"/>
      <c r="P20" s="47"/>
      <c r="Q20" s="47"/>
      <c r="R20" s="47"/>
      <c r="S20" s="47"/>
      <c r="T20" s="47"/>
      <c r="W20" s="40" t="s">
        <v>117</v>
      </c>
      <c r="X20" s="35" t="s">
        <v>24</v>
      </c>
      <c r="Y20" s="21">
        <v>0.31290000000000001</v>
      </c>
      <c r="Z20" s="35">
        <v>0.28839999999999999</v>
      </c>
      <c r="AA20" s="43">
        <f t="shared" si="4"/>
        <v>-2.4500000000000022E-2</v>
      </c>
      <c r="AB20" s="42">
        <f t="shared" si="5"/>
        <v>-7.829977628635354E-2</v>
      </c>
    </row>
    <row r="21" spans="1:28" ht="27.5" thickBot="1" x14ac:dyDescent="0.35">
      <c r="A21" s="7" t="s">
        <v>7</v>
      </c>
      <c r="B21" s="14" t="s">
        <v>14</v>
      </c>
      <c r="C21" s="18" t="s">
        <v>14</v>
      </c>
      <c r="D21" s="15" t="s">
        <v>14</v>
      </c>
      <c r="E21" s="18" t="s">
        <v>14</v>
      </c>
      <c r="F21" s="16">
        <v>6.3E-3</v>
      </c>
      <c r="G21" s="16">
        <v>6.3E-3</v>
      </c>
      <c r="H21" s="16">
        <v>9.4000000000000004E-3</v>
      </c>
      <c r="I21" s="16">
        <v>9.4000000000000004E-3</v>
      </c>
      <c r="J21" s="16">
        <v>9.4000000000000004E-3</v>
      </c>
      <c r="K21" s="16">
        <v>9.4000000000000004E-3</v>
      </c>
      <c r="M21" s="47"/>
      <c r="N21" s="47"/>
      <c r="O21" s="47"/>
      <c r="P21" s="47"/>
      <c r="Q21" s="47"/>
      <c r="R21" s="47"/>
      <c r="S21" s="48"/>
      <c r="T21" s="48"/>
      <c r="W21" s="41"/>
      <c r="X21" s="35" t="s">
        <v>25</v>
      </c>
      <c r="Y21" s="14">
        <v>0.31900000000000001</v>
      </c>
      <c r="Z21" s="35">
        <v>0.30659999999999998</v>
      </c>
      <c r="AA21" s="43">
        <f t="shared" si="4"/>
        <v>-1.2400000000000022E-2</v>
      </c>
      <c r="AB21" s="42">
        <f t="shared" si="5"/>
        <v>-3.8871473354232043E-2</v>
      </c>
    </row>
    <row r="22" spans="1:28" ht="42.5" thickBot="1" x14ac:dyDescent="0.35">
      <c r="A22" s="7" t="s">
        <v>8</v>
      </c>
      <c r="B22" s="14" t="s">
        <v>14</v>
      </c>
      <c r="C22" s="18" t="s">
        <v>14</v>
      </c>
      <c r="D22" s="14" t="s">
        <v>48</v>
      </c>
      <c r="E22" s="18" t="s">
        <v>82</v>
      </c>
      <c r="F22" s="14" t="s">
        <v>44</v>
      </c>
      <c r="G22" s="18" t="s">
        <v>83</v>
      </c>
      <c r="H22" s="14" t="s">
        <v>40</v>
      </c>
      <c r="I22" s="18" t="s">
        <v>84</v>
      </c>
      <c r="J22" s="14" t="s">
        <v>56</v>
      </c>
      <c r="K22" s="18" t="s">
        <v>85</v>
      </c>
      <c r="M22" s="47"/>
      <c r="N22" s="47"/>
      <c r="O22" s="47"/>
      <c r="P22" s="47"/>
      <c r="Q22" s="47"/>
      <c r="R22" s="47"/>
      <c r="S22" s="49"/>
      <c r="T22" s="47"/>
      <c r="W22" s="40" t="s">
        <v>118</v>
      </c>
      <c r="X22" s="35" t="s">
        <v>24</v>
      </c>
      <c r="Y22" s="21">
        <v>0.30580000000000002</v>
      </c>
      <c r="Z22" s="35">
        <v>0.29249999999999998</v>
      </c>
      <c r="AA22" s="43">
        <f t="shared" si="4"/>
        <v>-1.3300000000000034E-2</v>
      </c>
      <c r="AB22" s="42">
        <f t="shared" si="5"/>
        <v>-4.3492478744277412E-2</v>
      </c>
    </row>
    <row r="23" spans="1:28" ht="15.5" thickBot="1" x14ac:dyDescent="0.35">
      <c r="A23" s="7" t="s">
        <v>11</v>
      </c>
      <c r="B23" s="14" t="s">
        <v>14</v>
      </c>
      <c r="C23" s="18" t="s">
        <v>14</v>
      </c>
      <c r="D23" s="15" t="s">
        <v>50</v>
      </c>
      <c r="E23" s="19" t="s">
        <v>50</v>
      </c>
      <c r="F23" s="15" t="s">
        <v>50</v>
      </c>
      <c r="G23" s="19" t="s">
        <v>50</v>
      </c>
      <c r="H23" s="15" t="s">
        <v>50</v>
      </c>
      <c r="I23" s="19" t="s">
        <v>50</v>
      </c>
      <c r="J23" s="14" t="s">
        <v>14</v>
      </c>
      <c r="K23" s="19" t="s">
        <v>50</v>
      </c>
      <c r="M23" s="47"/>
      <c r="N23" s="47"/>
      <c r="O23" s="47"/>
      <c r="P23" s="47"/>
      <c r="Q23" s="50"/>
      <c r="R23" s="50"/>
      <c r="S23" s="50"/>
      <c r="T23" s="50"/>
      <c r="W23" s="41"/>
      <c r="X23" s="35" t="s">
        <v>25</v>
      </c>
      <c r="Y23" s="14">
        <v>0.31269999999999998</v>
      </c>
      <c r="Z23" s="35">
        <v>0.29020000000000001</v>
      </c>
      <c r="AA23" s="43">
        <f t="shared" si="4"/>
        <v>-2.2499999999999964E-2</v>
      </c>
      <c r="AB23" s="42">
        <f t="shared" si="5"/>
        <v>-7.1953949472337589E-2</v>
      </c>
    </row>
    <row r="24" spans="1:28" ht="15.5" thickBot="1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M24" s="45"/>
      <c r="N24" s="45"/>
      <c r="O24" s="45"/>
      <c r="P24" s="45"/>
      <c r="Q24" s="45"/>
      <c r="R24" s="45"/>
      <c r="S24" s="45"/>
      <c r="T24" s="45"/>
      <c r="W24" s="40" t="s">
        <v>119</v>
      </c>
      <c r="X24" s="35" t="s">
        <v>24</v>
      </c>
      <c r="Y24" s="21">
        <v>0.33760000000000001</v>
      </c>
      <c r="Z24" s="35">
        <v>0.37440000000000001</v>
      </c>
      <c r="AA24" s="43">
        <f t="shared" si="4"/>
        <v>3.6799999999999999E-2</v>
      </c>
      <c r="AB24" s="42">
        <f t="shared" si="5"/>
        <v>0.10900473933649289</v>
      </c>
    </row>
    <row r="25" spans="1:28" ht="15.5" thickBot="1" x14ac:dyDescent="0.35">
      <c r="A25" s="29" t="s">
        <v>78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M25" s="45"/>
      <c r="N25" s="45"/>
      <c r="O25" s="45"/>
      <c r="P25" s="45"/>
      <c r="Q25" s="45"/>
      <c r="R25" s="45"/>
      <c r="S25" s="45"/>
      <c r="T25" s="45"/>
      <c r="W25" s="41"/>
      <c r="X25" s="35" t="s">
        <v>25</v>
      </c>
      <c r="Y25" s="14">
        <v>0.37469999999999998</v>
      </c>
      <c r="Z25" s="35">
        <v>0.41920000000000002</v>
      </c>
      <c r="AA25" s="43">
        <f t="shared" si="4"/>
        <v>4.450000000000004E-2</v>
      </c>
      <c r="AB25" s="42">
        <f t="shared" si="5"/>
        <v>0.11876167600747276</v>
      </c>
    </row>
    <row r="26" spans="1:28" x14ac:dyDescent="0.3">
      <c r="A26" s="14"/>
      <c r="B26" s="30" t="s">
        <v>0</v>
      </c>
      <c r="C26" s="30"/>
      <c r="D26" s="30" t="s">
        <v>105</v>
      </c>
      <c r="E26" s="30"/>
      <c r="F26" s="30" t="s">
        <v>106</v>
      </c>
      <c r="G26" s="30"/>
      <c r="H26" s="30" t="s">
        <v>2</v>
      </c>
      <c r="I26" s="30"/>
      <c r="J26" s="30" t="s">
        <v>3</v>
      </c>
      <c r="K26" s="30"/>
      <c r="M26" s="45"/>
      <c r="N26" s="45"/>
      <c r="O26" s="45"/>
      <c r="P26" s="45"/>
      <c r="Q26" s="45"/>
      <c r="R26" s="45"/>
      <c r="S26" s="45"/>
      <c r="T26" s="45"/>
    </row>
    <row r="27" spans="1:28" x14ac:dyDescent="0.3">
      <c r="A27" s="14" t="s">
        <v>74</v>
      </c>
      <c r="B27" s="7" t="s">
        <v>63</v>
      </c>
      <c r="C27" s="7" t="s">
        <v>64</v>
      </c>
      <c r="D27" s="7" t="s">
        <v>63</v>
      </c>
      <c r="E27" s="7" t="s">
        <v>64</v>
      </c>
      <c r="F27" s="7" t="s">
        <v>63</v>
      </c>
      <c r="G27" s="7" t="s">
        <v>64</v>
      </c>
      <c r="H27" s="7" t="s">
        <v>63</v>
      </c>
      <c r="I27" s="7" t="s">
        <v>64</v>
      </c>
      <c r="J27" s="7" t="s">
        <v>63</v>
      </c>
      <c r="K27" s="7" t="s">
        <v>64</v>
      </c>
      <c r="M27" s="45"/>
      <c r="N27" s="45"/>
      <c r="O27" s="45"/>
      <c r="P27" s="45"/>
      <c r="Q27" s="45"/>
      <c r="R27" s="45"/>
      <c r="S27" s="45"/>
      <c r="T27" s="45"/>
    </row>
    <row r="28" spans="1:28" x14ac:dyDescent="0.3">
      <c r="A28" s="7" t="s">
        <v>4</v>
      </c>
      <c r="B28" s="14">
        <v>100</v>
      </c>
      <c r="C28" s="14">
        <v>100</v>
      </c>
      <c r="D28" s="14">
        <v>100</v>
      </c>
      <c r="E28" s="14">
        <v>100</v>
      </c>
      <c r="F28" s="14">
        <v>125</v>
      </c>
      <c r="G28" s="14">
        <v>125</v>
      </c>
      <c r="H28" s="14">
        <v>150</v>
      </c>
      <c r="I28" s="14">
        <v>150</v>
      </c>
      <c r="J28" s="14">
        <v>150</v>
      </c>
      <c r="K28" s="14">
        <v>150</v>
      </c>
      <c r="M28" s="46"/>
      <c r="N28" s="46"/>
      <c r="O28" s="46"/>
      <c r="P28" s="46"/>
      <c r="Q28" s="46"/>
      <c r="R28" s="46"/>
      <c r="S28" s="46"/>
      <c r="T28" s="46"/>
    </row>
    <row r="29" spans="1:28" ht="27" x14ac:dyDescent="0.3">
      <c r="A29" s="7" t="s">
        <v>13</v>
      </c>
      <c r="B29" s="21">
        <v>0.26669999999999999</v>
      </c>
      <c r="C29" s="14">
        <v>0.30740000000000001</v>
      </c>
      <c r="D29" s="21">
        <v>0.30580000000000002</v>
      </c>
      <c r="E29" s="14">
        <v>0.31269999999999998</v>
      </c>
      <c r="F29" s="21">
        <v>0.307</v>
      </c>
      <c r="G29" s="14">
        <v>0.29580000000000001</v>
      </c>
      <c r="H29" s="21">
        <v>0.27810000000000001</v>
      </c>
      <c r="I29" s="18">
        <v>0.30330000000000001</v>
      </c>
      <c r="J29" s="14">
        <v>0.29249999999999998</v>
      </c>
      <c r="K29" s="14">
        <v>0.29020000000000001</v>
      </c>
      <c r="M29" s="46"/>
      <c r="N29" s="46"/>
      <c r="O29" s="46"/>
      <c r="P29" s="46"/>
      <c r="Q29" s="46"/>
      <c r="R29" s="46"/>
      <c r="S29" s="47"/>
      <c r="T29" s="46"/>
    </row>
    <row r="30" spans="1:28" x14ac:dyDescent="0.3">
      <c r="A30" s="23" t="s">
        <v>109</v>
      </c>
      <c r="B30" s="21">
        <v>284</v>
      </c>
      <c r="C30" s="14">
        <v>191</v>
      </c>
      <c r="D30" s="21">
        <v>200</v>
      </c>
      <c r="E30" s="14">
        <v>171</v>
      </c>
      <c r="F30" s="21">
        <v>208</v>
      </c>
      <c r="G30" s="14">
        <v>175</v>
      </c>
      <c r="H30" s="21">
        <v>233</v>
      </c>
      <c r="I30" s="18">
        <v>167</v>
      </c>
      <c r="J30" s="14">
        <v>245</v>
      </c>
      <c r="K30" s="14">
        <v>165</v>
      </c>
      <c r="M30" s="46"/>
      <c r="N30" s="46"/>
      <c r="O30" s="46"/>
      <c r="P30" s="46"/>
      <c r="Q30" s="46"/>
      <c r="R30" s="46"/>
      <c r="S30" s="47"/>
      <c r="T30" s="46"/>
    </row>
    <row r="31" spans="1:28" x14ac:dyDescent="0.3">
      <c r="A31" s="7" t="s">
        <v>19</v>
      </c>
      <c r="B31" s="14" t="s">
        <v>32</v>
      </c>
      <c r="C31" s="18" t="s">
        <v>16</v>
      </c>
      <c r="D31" s="14" t="s">
        <v>32</v>
      </c>
      <c r="E31" s="18" t="s">
        <v>16</v>
      </c>
      <c r="F31" s="14" t="s">
        <v>32</v>
      </c>
      <c r="G31" s="18" t="s">
        <v>16</v>
      </c>
      <c r="H31" s="14" t="s">
        <v>32</v>
      </c>
      <c r="I31" s="18" t="s">
        <v>16</v>
      </c>
      <c r="J31" s="14" t="s">
        <v>32</v>
      </c>
      <c r="K31" s="18" t="s">
        <v>16</v>
      </c>
      <c r="M31" s="47"/>
      <c r="N31" s="47"/>
      <c r="O31" s="47"/>
      <c r="P31" s="47"/>
      <c r="Q31" s="47"/>
      <c r="R31" s="47"/>
      <c r="S31" s="47"/>
      <c r="T31" s="47"/>
    </row>
    <row r="32" spans="1:28" x14ac:dyDescent="0.3">
      <c r="A32" s="7" t="s">
        <v>6</v>
      </c>
      <c r="B32" s="14" t="s">
        <v>14</v>
      </c>
      <c r="C32" s="18" t="s">
        <v>14</v>
      </c>
      <c r="D32" s="14" t="s">
        <v>14</v>
      </c>
      <c r="E32" s="18" t="s">
        <v>14</v>
      </c>
      <c r="F32" s="14" t="s">
        <v>97</v>
      </c>
      <c r="G32" s="14" t="s">
        <v>97</v>
      </c>
      <c r="H32" s="14" t="s">
        <v>97</v>
      </c>
      <c r="I32" s="14" t="s">
        <v>97</v>
      </c>
      <c r="J32" s="14" t="s">
        <v>97</v>
      </c>
      <c r="K32" s="14" t="s">
        <v>97</v>
      </c>
      <c r="M32" s="47"/>
      <c r="N32" s="47"/>
      <c r="O32" s="47"/>
      <c r="P32" s="47"/>
      <c r="Q32" s="47"/>
      <c r="R32" s="47"/>
      <c r="S32" s="47"/>
      <c r="T32" s="47"/>
    </row>
    <row r="33" spans="1:20" ht="27" x14ac:dyDescent="0.3">
      <c r="A33" s="7" t="s">
        <v>7</v>
      </c>
      <c r="B33" s="14" t="s">
        <v>14</v>
      </c>
      <c r="C33" s="18" t="s">
        <v>14</v>
      </c>
      <c r="D33" s="14" t="s">
        <v>14</v>
      </c>
      <c r="E33" s="18" t="s">
        <v>14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M33" s="47"/>
      <c r="N33" s="47"/>
      <c r="O33" s="47"/>
      <c r="P33" s="47"/>
      <c r="Q33" s="47"/>
      <c r="R33" s="47"/>
      <c r="S33" s="47"/>
      <c r="T33" s="47"/>
    </row>
    <row r="34" spans="1:20" ht="42" x14ac:dyDescent="0.3">
      <c r="A34" s="7" t="s">
        <v>8</v>
      </c>
      <c r="B34" s="14" t="s">
        <v>14</v>
      </c>
      <c r="C34" s="18" t="s">
        <v>14</v>
      </c>
      <c r="D34" s="14" t="s">
        <v>47</v>
      </c>
      <c r="E34" s="18" t="s">
        <v>86</v>
      </c>
      <c r="F34" s="14" t="s">
        <v>43</v>
      </c>
      <c r="G34" s="18" t="s">
        <v>87</v>
      </c>
      <c r="H34" s="14" t="s">
        <v>39</v>
      </c>
      <c r="I34" s="18" t="s">
        <v>88</v>
      </c>
      <c r="J34" s="14" t="s">
        <v>54</v>
      </c>
      <c r="K34" s="18" t="s">
        <v>89</v>
      </c>
      <c r="M34" s="47"/>
      <c r="N34" s="47"/>
      <c r="O34" s="47"/>
      <c r="P34" s="47"/>
      <c r="Q34" s="47"/>
      <c r="R34" s="47"/>
      <c r="S34" s="47"/>
      <c r="T34" s="47"/>
    </row>
    <row r="35" spans="1:20" x14ac:dyDescent="0.3">
      <c r="A35" s="7" t="s">
        <v>11</v>
      </c>
      <c r="B35" s="14" t="s">
        <v>14</v>
      </c>
      <c r="C35" s="18" t="s">
        <v>14</v>
      </c>
      <c r="D35" s="15" t="s">
        <v>50</v>
      </c>
      <c r="E35" s="19" t="s">
        <v>50</v>
      </c>
      <c r="F35" s="15" t="s">
        <v>50</v>
      </c>
      <c r="G35" s="19" t="s">
        <v>50</v>
      </c>
      <c r="H35" s="15" t="s">
        <v>50</v>
      </c>
      <c r="I35" s="19" t="s">
        <v>50</v>
      </c>
      <c r="J35" s="19" t="s">
        <v>50</v>
      </c>
      <c r="K35" s="19" t="s">
        <v>50</v>
      </c>
      <c r="M35" s="47"/>
      <c r="N35" s="47"/>
      <c r="O35" s="47"/>
      <c r="P35" s="47"/>
      <c r="Q35" s="50"/>
      <c r="R35" s="50"/>
      <c r="S35" s="50"/>
      <c r="T35" s="50"/>
    </row>
    <row r="36" spans="1:20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M36" s="45"/>
      <c r="N36" s="45"/>
      <c r="O36" s="45"/>
      <c r="P36" s="45"/>
      <c r="Q36" s="45"/>
      <c r="R36" s="45"/>
      <c r="S36" s="45"/>
      <c r="T36" s="45"/>
    </row>
    <row r="37" spans="1:20" x14ac:dyDescent="0.3">
      <c r="A37" s="29" t="s">
        <v>77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M37" s="45"/>
      <c r="N37" s="45"/>
      <c r="O37" s="45"/>
      <c r="P37" s="45"/>
      <c r="Q37" s="45"/>
      <c r="R37" s="45"/>
      <c r="S37" s="45"/>
      <c r="T37" s="45"/>
    </row>
    <row r="38" spans="1:20" x14ac:dyDescent="0.3">
      <c r="A38" s="14"/>
      <c r="B38" s="30" t="s">
        <v>0</v>
      </c>
      <c r="C38" s="30"/>
      <c r="D38" s="30" t="s">
        <v>76</v>
      </c>
      <c r="E38" s="30"/>
      <c r="F38" s="30" t="s">
        <v>1</v>
      </c>
      <c r="G38" s="30"/>
      <c r="H38" s="30" t="s">
        <v>2</v>
      </c>
      <c r="I38" s="30"/>
      <c r="J38" s="30" t="s">
        <v>3</v>
      </c>
      <c r="K38" s="30"/>
      <c r="M38" s="45"/>
      <c r="N38" s="45"/>
      <c r="O38" s="45"/>
      <c r="P38" s="45"/>
      <c r="Q38" s="45"/>
      <c r="R38" s="45"/>
      <c r="S38" s="45"/>
      <c r="T38" s="45"/>
    </row>
    <row r="39" spans="1:20" x14ac:dyDescent="0.3">
      <c r="A39" s="14" t="s">
        <v>74</v>
      </c>
      <c r="B39" s="7" t="s">
        <v>63</v>
      </c>
      <c r="C39" s="7" t="s">
        <v>64</v>
      </c>
      <c r="D39" s="7" t="s">
        <v>63</v>
      </c>
      <c r="E39" s="7" t="s">
        <v>64</v>
      </c>
      <c r="F39" s="7" t="s">
        <v>63</v>
      </c>
      <c r="G39" s="7" t="s">
        <v>64</v>
      </c>
      <c r="H39" s="7" t="s">
        <v>63</v>
      </c>
      <c r="I39" s="7" t="s">
        <v>64</v>
      </c>
      <c r="J39" s="7" t="s">
        <v>63</v>
      </c>
      <c r="K39" s="7" t="s">
        <v>64</v>
      </c>
      <c r="M39" s="45"/>
      <c r="N39" s="45"/>
      <c r="O39" s="45"/>
      <c r="P39" s="45"/>
      <c r="Q39" s="45"/>
      <c r="R39" s="45"/>
      <c r="S39" s="45"/>
      <c r="T39" s="45"/>
    </row>
    <row r="40" spans="1:20" x14ac:dyDescent="0.3">
      <c r="A40" s="7" t="s">
        <v>4</v>
      </c>
      <c r="B40" s="14">
        <v>100</v>
      </c>
      <c r="C40" s="14">
        <v>100</v>
      </c>
      <c r="D40" s="14">
        <v>100</v>
      </c>
      <c r="E40" s="14">
        <v>100</v>
      </c>
      <c r="F40" s="14">
        <v>125</v>
      </c>
      <c r="G40" s="14">
        <v>125</v>
      </c>
      <c r="H40" s="14">
        <v>150</v>
      </c>
      <c r="I40" s="14">
        <v>150</v>
      </c>
      <c r="J40" s="14">
        <v>150</v>
      </c>
      <c r="K40" s="14">
        <v>150</v>
      </c>
      <c r="M40" s="46"/>
      <c r="N40" s="46"/>
      <c r="O40" s="46"/>
      <c r="P40" s="46"/>
      <c r="Q40" s="46"/>
      <c r="R40" s="46"/>
      <c r="S40" s="46"/>
      <c r="T40" s="46"/>
    </row>
    <row r="41" spans="1:20" ht="27" x14ac:dyDescent="0.3">
      <c r="A41" s="7" t="s">
        <v>13</v>
      </c>
      <c r="B41" s="21">
        <v>0.4289</v>
      </c>
      <c r="C41" s="14">
        <v>0.37440000000000001</v>
      </c>
      <c r="D41" s="21">
        <v>0.33760000000000001</v>
      </c>
      <c r="E41" s="14">
        <v>0.37469999999999998</v>
      </c>
      <c r="F41" s="21">
        <v>0.37290000000000001</v>
      </c>
      <c r="G41" s="14">
        <v>0.39240000000000003</v>
      </c>
      <c r="H41" s="14">
        <v>0.4582</v>
      </c>
      <c r="I41" s="14">
        <v>0.41189999999999999</v>
      </c>
      <c r="J41" s="14">
        <v>0.42420000000000002</v>
      </c>
      <c r="K41" s="14">
        <v>0.41920000000000002</v>
      </c>
      <c r="M41" s="46"/>
      <c r="N41" s="46"/>
      <c r="O41" s="46"/>
      <c r="P41" s="46"/>
      <c r="Q41" s="46"/>
      <c r="R41" s="46"/>
      <c r="S41" s="46"/>
      <c r="T41" s="46"/>
    </row>
    <row r="42" spans="1:20" x14ac:dyDescent="0.3">
      <c r="A42" s="23" t="s">
        <v>109</v>
      </c>
      <c r="B42" s="21">
        <v>579</v>
      </c>
      <c r="C42" s="14">
        <v>483</v>
      </c>
      <c r="D42" s="21">
        <v>465</v>
      </c>
      <c r="E42" s="14">
        <v>460</v>
      </c>
      <c r="F42" s="21">
        <v>498</v>
      </c>
      <c r="G42" s="14">
        <v>483</v>
      </c>
      <c r="H42" s="14">
        <v>590</v>
      </c>
      <c r="I42" s="14">
        <v>524</v>
      </c>
      <c r="J42" s="14">
        <v>571</v>
      </c>
      <c r="K42" s="14">
        <v>518</v>
      </c>
      <c r="M42" s="46"/>
      <c r="N42" s="46"/>
      <c r="O42" s="46"/>
      <c r="P42" s="46"/>
      <c r="Q42" s="46"/>
      <c r="R42" s="46"/>
      <c r="S42" s="46"/>
      <c r="T42" s="46"/>
    </row>
    <row r="43" spans="1:20" x14ac:dyDescent="0.3">
      <c r="A43" s="7" t="s">
        <v>19</v>
      </c>
      <c r="B43" s="14" t="s">
        <v>17</v>
      </c>
      <c r="C43" s="14" t="s">
        <v>90</v>
      </c>
      <c r="D43" s="14" t="s">
        <v>17</v>
      </c>
      <c r="E43" s="18" t="s">
        <v>17</v>
      </c>
      <c r="F43" s="14" t="s">
        <v>37</v>
      </c>
      <c r="G43" s="18" t="s">
        <v>91</v>
      </c>
      <c r="H43" s="14" t="s">
        <v>61</v>
      </c>
      <c r="I43" s="18" t="s">
        <v>61</v>
      </c>
      <c r="J43" s="14" t="s">
        <v>61</v>
      </c>
      <c r="K43" s="18" t="s">
        <v>61</v>
      </c>
      <c r="M43" s="46"/>
      <c r="N43" s="46"/>
      <c r="O43" s="46"/>
      <c r="P43" s="46"/>
      <c r="Q43" s="47"/>
      <c r="R43" s="47"/>
      <c r="S43" s="47"/>
      <c r="T43" s="47"/>
    </row>
    <row r="44" spans="1:20" x14ac:dyDescent="0.3">
      <c r="A44" s="7" t="s">
        <v>6</v>
      </c>
      <c r="B44" s="14" t="s">
        <v>14</v>
      </c>
      <c r="C44" s="18" t="s">
        <v>14</v>
      </c>
      <c r="D44" s="14" t="s">
        <v>14</v>
      </c>
      <c r="E44" s="18" t="s">
        <v>14</v>
      </c>
      <c r="F44" s="14" t="s">
        <v>51</v>
      </c>
      <c r="G44" s="18" t="s">
        <v>92</v>
      </c>
      <c r="H44" s="14" t="s">
        <v>62</v>
      </c>
      <c r="I44" s="18" t="s">
        <v>62</v>
      </c>
      <c r="J44" s="14" t="s">
        <v>62</v>
      </c>
      <c r="K44" s="18" t="s">
        <v>62</v>
      </c>
      <c r="M44" s="47"/>
      <c r="N44" s="47"/>
      <c r="O44" s="47"/>
      <c r="P44" s="47"/>
      <c r="Q44" s="47"/>
      <c r="R44" s="47"/>
      <c r="S44" s="47"/>
      <c r="T44" s="47"/>
    </row>
    <row r="45" spans="1:20" ht="27" x14ac:dyDescent="0.3">
      <c r="A45" s="7" t="s">
        <v>7</v>
      </c>
      <c r="B45" s="14" t="s">
        <v>14</v>
      </c>
      <c r="C45" s="18" t="s">
        <v>14</v>
      </c>
      <c r="D45" s="14" t="s">
        <v>14</v>
      </c>
      <c r="E45" s="18" t="s">
        <v>14</v>
      </c>
      <c r="F45" s="16">
        <v>0.1525</v>
      </c>
      <c r="G45" s="16">
        <v>0.13550000000000001</v>
      </c>
      <c r="H45" s="16">
        <v>0.23730000000000001</v>
      </c>
      <c r="I45" s="16">
        <v>0.23730000000000001</v>
      </c>
      <c r="J45" s="16">
        <v>0.23730000000000001</v>
      </c>
      <c r="K45" s="16">
        <v>0.23730000000000001</v>
      </c>
      <c r="M45" s="47"/>
      <c r="N45" s="47"/>
      <c r="O45" s="47"/>
      <c r="P45" s="47"/>
      <c r="Q45" s="47"/>
      <c r="R45" s="47"/>
      <c r="S45" s="48"/>
      <c r="T45" s="48"/>
    </row>
    <row r="46" spans="1:20" ht="42" x14ac:dyDescent="0.3">
      <c r="A46" s="7" t="s">
        <v>8</v>
      </c>
      <c r="B46" s="14" t="s">
        <v>14</v>
      </c>
      <c r="C46" s="18" t="s">
        <v>14</v>
      </c>
      <c r="D46" s="14" t="s">
        <v>46</v>
      </c>
      <c r="E46" s="18" t="s">
        <v>93</v>
      </c>
      <c r="F46" s="14" t="s">
        <v>42</v>
      </c>
      <c r="G46" s="18" t="s">
        <v>94</v>
      </c>
      <c r="H46" s="14" t="s">
        <v>38</v>
      </c>
      <c r="I46" s="18" t="s">
        <v>95</v>
      </c>
      <c r="J46" s="14" t="s">
        <v>53</v>
      </c>
      <c r="K46" s="18" t="s">
        <v>96</v>
      </c>
      <c r="M46" s="47"/>
      <c r="N46" s="47"/>
      <c r="O46" s="47"/>
      <c r="P46" s="47"/>
      <c r="Q46" s="47"/>
      <c r="R46" s="47"/>
      <c r="S46" s="47"/>
      <c r="T46" s="47"/>
    </row>
    <row r="47" spans="1:20" x14ac:dyDescent="0.3">
      <c r="A47" s="7" t="s">
        <v>11</v>
      </c>
      <c r="B47" s="14" t="s">
        <v>14</v>
      </c>
      <c r="C47" s="18" t="s">
        <v>14</v>
      </c>
      <c r="D47" s="15" t="s">
        <v>50</v>
      </c>
      <c r="E47" s="19" t="s">
        <v>50</v>
      </c>
      <c r="F47" s="15" t="s">
        <v>50</v>
      </c>
      <c r="G47" s="19" t="s">
        <v>50</v>
      </c>
      <c r="H47" s="15" t="s">
        <v>50</v>
      </c>
      <c r="I47" s="19" t="s">
        <v>50</v>
      </c>
      <c r="J47" s="14" t="s">
        <v>55</v>
      </c>
      <c r="K47" s="19" t="s">
        <v>50</v>
      </c>
      <c r="M47" s="47"/>
      <c r="N47" s="47"/>
      <c r="O47" s="47"/>
      <c r="P47" s="47"/>
      <c r="Q47" s="50"/>
      <c r="R47" s="50"/>
      <c r="S47" s="50"/>
      <c r="T47" s="50"/>
    </row>
  </sheetData>
  <mergeCells count="39">
    <mergeCell ref="M2:Q2"/>
    <mergeCell ref="M4:M5"/>
    <mergeCell ref="M6:M7"/>
    <mergeCell ref="M8:M9"/>
    <mergeCell ref="M10:M11"/>
    <mergeCell ref="W16:AA16"/>
    <mergeCell ref="W18:W19"/>
    <mergeCell ref="W20:W21"/>
    <mergeCell ref="W22:W23"/>
    <mergeCell ref="W24:W25"/>
    <mergeCell ref="U2:Y2"/>
    <mergeCell ref="U4:U5"/>
    <mergeCell ref="U6:U7"/>
    <mergeCell ref="U8:U9"/>
    <mergeCell ref="U10:U11"/>
    <mergeCell ref="A1:K1"/>
    <mergeCell ref="B2:C2"/>
    <mergeCell ref="D2:E2"/>
    <mergeCell ref="F2:G2"/>
    <mergeCell ref="H2:I2"/>
    <mergeCell ref="J2:K2"/>
    <mergeCell ref="A13:K13"/>
    <mergeCell ref="B14:C14"/>
    <mergeCell ref="D14:E14"/>
    <mergeCell ref="F14:G14"/>
    <mergeCell ref="H14:I14"/>
    <mergeCell ref="J14:K14"/>
    <mergeCell ref="A25:K25"/>
    <mergeCell ref="B26:C26"/>
    <mergeCell ref="D26:E26"/>
    <mergeCell ref="F26:G26"/>
    <mergeCell ref="H26:I26"/>
    <mergeCell ref="J26:K26"/>
    <mergeCell ref="A37:K37"/>
    <mergeCell ref="B38:C38"/>
    <mergeCell ref="D38:E38"/>
    <mergeCell ref="F38:G38"/>
    <mergeCell ref="H38:I38"/>
    <mergeCell ref="J38:K3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A841-A0E2-4653-A1F5-BF0B593142C4}">
  <dimension ref="A1:O29"/>
  <sheetViews>
    <sheetView workbookViewId="0">
      <selection activeCell="E34" sqref="E34"/>
    </sheetView>
  </sheetViews>
  <sheetFormatPr defaultRowHeight="14" x14ac:dyDescent="0.3"/>
  <cols>
    <col min="1" max="1" width="18.6640625" customWidth="1"/>
    <col min="8" max="8" width="9.83203125" customWidth="1"/>
  </cols>
  <sheetData>
    <row r="1" spans="1:15" x14ac:dyDescent="0.3">
      <c r="B1" s="31" t="s">
        <v>101</v>
      </c>
      <c r="C1" s="31"/>
      <c r="D1" s="31"/>
      <c r="E1" s="31" t="s">
        <v>102</v>
      </c>
      <c r="F1" s="31"/>
      <c r="G1" s="31"/>
      <c r="H1" t="s">
        <v>103</v>
      </c>
      <c r="I1" t="s">
        <v>104</v>
      </c>
      <c r="J1" t="s">
        <v>104</v>
      </c>
    </row>
    <row r="2" spans="1:15" x14ac:dyDescent="0.3">
      <c r="B2" t="s">
        <v>98</v>
      </c>
      <c r="C2" t="s">
        <v>99</v>
      </c>
      <c r="D2" t="s">
        <v>100</v>
      </c>
      <c r="E2" t="s">
        <v>98</v>
      </c>
      <c r="F2" t="s">
        <v>99</v>
      </c>
      <c r="G2" t="s">
        <v>100</v>
      </c>
    </row>
    <row r="3" spans="1:15" ht="14" customHeight="1" x14ac:dyDescent="0.3">
      <c r="A3" s="17" t="s">
        <v>18</v>
      </c>
      <c r="B3">
        <v>7.6</v>
      </c>
      <c r="C3">
        <v>6.2</v>
      </c>
      <c r="D3">
        <f>(B3+C3)/2</f>
        <v>6.9</v>
      </c>
      <c r="E3">
        <v>7.7</v>
      </c>
      <c r="F3">
        <v>6</v>
      </c>
      <c r="G3">
        <f>(E3+F3)/2</f>
        <v>6.85</v>
      </c>
      <c r="H3">
        <f>(G3-D3)/25.1</f>
        <v>-1.9920318725099883E-3</v>
      </c>
      <c r="I3" s="22">
        <f>H3*100%</f>
        <v>-1.9920318725099883E-3</v>
      </c>
      <c r="J3" s="22">
        <f>ABS(I3)</f>
        <v>1.9920318725099883E-3</v>
      </c>
    </row>
    <row r="4" spans="1:15" x14ac:dyDescent="0.3">
      <c r="A4" s="17" t="s">
        <v>20</v>
      </c>
      <c r="N4" s="21"/>
      <c r="O4" s="18"/>
    </row>
    <row r="5" spans="1:15" x14ac:dyDescent="0.3">
      <c r="A5" s="17" t="s">
        <v>21</v>
      </c>
      <c r="N5" s="22"/>
    </row>
    <row r="6" spans="1:15" x14ac:dyDescent="0.3">
      <c r="A6" s="17" t="s">
        <v>22</v>
      </c>
    </row>
    <row r="10" spans="1:15" x14ac:dyDescent="0.3">
      <c r="B10" s="30" t="s">
        <v>0</v>
      </c>
      <c r="C10" s="30"/>
      <c r="D10" s="30" t="s">
        <v>76</v>
      </c>
      <c r="E10" s="30"/>
      <c r="F10" s="30" t="s">
        <v>1</v>
      </c>
      <c r="G10" s="30"/>
      <c r="H10" s="30" t="s">
        <v>2</v>
      </c>
      <c r="I10" s="30"/>
      <c r="J10" s="30" t="s">
        <v>3</v>
      </c>
      <c r="K10" s="30"/>
    </row>
    <row r="11" spans="1:15" x14ac:dyDescent="0.3">
      <c r="A11" s="14" t="s">
        <v>74</v>
      </c>
      <c r="B11" s="7" t="s">
        <v>63</v>
      </c>
      <c r="C11" s="7" t="s">
        <v>64</v>
      </c>
      <c r="D11" s="7" t="s">
        <v>63</v>
      </c>
      <c r="E11" s="7" t="s">
        <v>64</v>
      </c>
      <c r="F11" s="7" t="s">
        <v>63</v>
      </c>
      <c r="G11" s="7" t="s">
        <v>64</v>
      </c>
      <c r="H11" s="7" t="s">
        <v>63</v>
      </c>
      <c r="I11" s="7" t="s">
        <v>64</v>
      </c>
      <c r="J11" s="7" t="s">
        <v>63</v>
      </c>
      <c r="K11" s="7" t="s">
        <v>64</v>
      </c>
    </row>
    <row r="12" spans="1:15" x14ac:dyDescent="0.3">
      <c r="A12" s="17" t="s">
        <v>18</v>
      </c>
      <c r="B12" s="14">
        <v>0.56950000000000001</v>
      </c>
      <c r="C12" s="14">
        <v>0.53059999999999996</v>
      </c>
      <c r="D12" s="14">
        <v>0.54479999999999995</v>
      </c>
      <c r="E12" s="14">
        <v>0.56299999999999994</v>
      </c>
      <c r="F12" s="14">
        <v>0.54300000000000004</v>
      </c>
      <c r="G12" s="14">
        <v>0.56059999999999999</v>
      </c>
      <c r="H12" s="14">
        <v>0.54390000000000005</v>
      </c>
      <c r="I12" s="14">
        <v>0.56889999999999996</v>
      </c>
      <c r="J12" s="14">
        <v>0.56699999999999995</v>
      </c>
      <c r="K12" s="14">
        <v>0.56240000000000001</v>
      </c>
    </row>
    <row r="13" spans="1:15" x14ac:dyDescent="0.3">
      <c r="B13" s="22">
        <f>ABS(B12-C12)/25.1</f>
        <v>1.5498007968127508E-3</v>
      </c>
      <c r="D13" s="22">
        <f>ABS(D12-E12)/25.1</f>
        <v>7.2509960159362517E-4</v>
      </c>
      <c r="F13" s="22">
        <f>ABS(F12-G12)/25.1</f>
        <v>7.011952191235039E-4</v>
      </c>
      <c r="H13" s="22">
        <f>ABS(H12-I12)/25.1</f>
        <v>9.9601593625497659E-4</v>
      </c>
      <c r="J13" s="22">
        <f>ABS(J12-K12)/25.1</f>
        <v>1.8326693227091383E-4</v>
      </c>
    </row>
    <row r="14" spans="1:15" x14ac:dyDescent="0.3">
      <c r="A14" s="17" t="s">
        <v>20</v>
      </c>
      <c r="B14" s="21">
        <v>0.29480000000000001</v>
      </c>
      <c r="C14" s="14">
        <v>0.30609999999999998</v>
      </c>
      <c r="D14" s="21">
        <v>0.31290000000000001</v>
      </c>
      <c r="E14" s="14">
        <v>0.31900000000000001</v>
      </c>
      <c r="F14" s="21">
        <v>0.31330000000000002</v>
      </c>
      <c r="G14" s="14">
        <v>0.32890000000000003</v>
      </c>
      <c r="H14" s="21">
        <v>0.29509999999999997</v>
      </c>
      <c r="I14" s="14">
        <v>0.29880000000000001</v>
      </c>
      <c r="J14" s="14">
        <v>0.28839999999999999</v>
      </c>
      <c r="K14" s="14">
        <v>0.30659999999999998</v>
      </c>
    </row>
    <row r="15" spans="1:15" x14ac:dyDescent="0.3">
      <c r="B15" s="22">
        <f>ABS(B14-C14)/25.1</f>
        <v>4.5019920318725004E-4</v>
      </c>
      <c r="D15" s="22">
        <f>ABS(D14-E14)/25.1</f>
        <v>2.4302788844621489E-4</v>
      </c>
      <c r="F15" s="22">
        <f>ABS(F14-G14)/25.1</f>
        <v>6.2151394422310766E-4</v>
      </c>
      <c r="H15" s="22">
        <f>ABS(H14-I14)/25.1</f>
        <v>1.4741035856573849E-4</v>
      </c>
      <c r="J15" s="22">
        <f>ABS(J14-K14)/25.1</f>
        <v>7.2509960159362517E-4</v>
      </c>
    </row>
    <row r="16" spans="1:15" x14ac:dyDescent="0.3">
      <c r="A16" s="17" t="s">
        <v>21</v>
      </c>
      <c r="B16" s="21">
        <v>0.26669999999999999</v>
      </c>
      <c r="C16" s="14">
        <v>0.30740000000000001</v>
      </c>
      <c r="D16" s="21">
        <v>0.30580000000000002</v>
      </c>
      <c r="E16" s="14">
        <v>0.31269999999999998</v>
      </c>
      <c r="F16" s="21">
        <v>0.307</v>
      </c>
      <c r="G16" s="14">
        <v>0.29580000000000001</v>
      </c>
      <c r="H16" s="21">
        <v>0.27810000000000001</v>
      </c>
      <c r="I16" s="18">
        <v>0.30330000000000001</v>
      </c>
      <c r="J16" s="14">
        <v>0.29249999999999998</v>
      </c>
      <c r="K16" s="14">
        <v>0.29020000000000001</v>
      </c>
    </row>
    <row r="17" spans="1:11" x14ac:dyDescent="0.3">
      <c r="B17" s="22">
        <f>ABS(B16-C16)/25.1</f>
        <v>1.6215139442231081E-3</v>
      </c>
      <c r="D17" s="22">
        <f>ABS(D16-E16)/25.1</f>
        <v>2.7490039840637296E-4</v>
      </c>
      <c r="F17" s="22">
        <f>ABS(F16-G16)/25.1</f>
        <v>4.4621513944223057E-4</v>
      </c>
      <c r="H17" s="22">
        <f>ABS(H16-I16)/25.1</f>
        <v>1.0039840637450198E-3</v>
      </c>
      <c r="J17" s="22">
        <f>ABS(J16-K16)/25.1</f>
        <v>9.1633466135456916E-5</v>
      </c>
    </row>
    <row r="18" spans="1:11" x14ac:dyDescent="0.3">
      <c r="A18" s="17" t="s">
        <v>22</v>
      </c>
      <c r="B18" s="21">
        <v>0.4289</v>
      </c>
      <c r="C18" s="14">
        <v>0.37440000000000001</v>
      </c>
      <c r="D18" s="21">
        <v>0.33760000000000001</v>
      </c>
      <c r="E18" s="14">
        <v>0.37469999999999998</v>
      </c>
      <c r="F18" s="21">
        <v>0.37290000000000001</v>
      </c>
      <c r="G18" s="14">
        <v>0.39240000000000003</v>
      </c>
      <c r="H18" s="14">
        <v>0.4582</v>
      </c>
      <c r="I18" s="14">
        <v>0.41189999999999999</v>
      </c>
      <c r="J18" s="14">
        <v>0.42420000000000002</v>
      </c>
      <c r="K18" s="14">
        <v>0.41920000000000002</v>
      </c>
    </row>
    <row r="19" spans="1:11" x14ac:dyDescent="0.3">
      <c r="B19" s="22">
        <f>ABS(B18-C18)/25.1</f>
        <v>2.1713147410358561E-3</v>
      </c>
      <c r="D19" s="22">
        <f>ABS(D18-E18)/25.1</f>
        <v>1.478087649402389E-3</v>
      </c>
      <c r="F19" s="22">
        <f>ABS(F18-G18)/25.1</f>
        <v>7.7689243027888506E-4</v>
      </c>
      <c r="H19" s="22">
        <f>ABS(H18-I18)/25.1</f>
        <v>1.8446215139442234E-3</v>
      </c>
      <c r="J19" s="22">
        <f>ABS(J18-K18)/25.1</f>
        <v>1.9920318725099619E-4</v>
      </c>
    </row>
    <row r="21" spans="1:11" x14ac:dyDescent="0.3">
      <c r="B21" t="s">
        <v>24</v>
      </c>
      <c r="E21" t="s">
        <v>102</v>
      </c>
    </row>
    <row r="22" spans="1:11" x14ac:dyDescent="0.3">
      <c r="B22" t="s">
        <v>107</v>
      </c>
      <c r="C22" t="s">
        <v>108</v>
      </c>
      <c r="E22" t="s">
        <v>107</v>
      </c>
      <c r="F22" t="s">
        <v>108</v>
      </c>
    </row>
    <row r="23" spans="1:11" x14ac:dyDescent="0.3">
      <c r="B23" s="14" t="s">
        <v>33</v>
      </c>
      <c r="C23" s="14" t="s">
        <v>35</v>
      </c>
      <c r="E23" s="14" t="s">
        <v>65</v>
      </c>
      <c r="F23" s="18" t="s">
        <v>70</v>
      </c>
    </row>
    <row r="24" spans="1:11" x14ac:dyDescent="0.3">
      <c r="B24" s="14" t="s">
        <v>15</v>
      </c>
      <c r="C24" s="14" t="s">
        <v>57</v>
      </c>
      <c r="E24" s="18" t="s">
        <v>80</v>
      </c>
      <c r="F24" s="18" t="s">
        <v>36</v>
      </c>
    </row>
    <row r="25" spans="1:11" x14ac:dyDescent="0.3">
      <c r="B25" s="14" t="s">
        <v>32</v>
      </c>
      <c r="C25" s="14" t="s">
        <v>32</v>
      </c>
      <c r="E25" s="18" t="s">
        <v>16</v>
      </c>
      <c r="F25" s="18" t="s">
        <v>16</v>
      </c>
    </row>
    <row r="26" spans="1:11" x14ac:dyDescent="0.3">
      <c r="B26" s="14" t="s">
        <v>17</v>
      </c>
      <c r="C26" s="14" t="s">
        <v>61</v>
      </c>
      <c r="E26" s="14" t="s">
        <v>90</v>
      </c>
      <c r="F26" s="18" t="s">
        <v>61</v>
      </c>
    </row>
    <row r="27" spans="1:11" x14ac:dyDescent="0.3">
      <c r="B27">
        <v>854</v>
      </c>
      <c r="C27">
        <v>805</v>
      </c>
      <c r="E27">
        <v>856</v>
      </c>
      <c r="F27">
        <v>808</v>
      </c>
    </row>
    <row r="28" spans="1:11" x14ac:dyDescent="0.3">
      <c r="C28">
        <f>B27-C27</f>
        <v>49</v>
      </c>
      <c r="F28">
        <f>E27-F27</f>
        <v>48</v>
      </c>
    </row>
    <row r="29" spans="1:11" x14ac:dyDescent="0.3">
      <c r="C29" s="9">
        <f>C28/B27</f>
        <v>5.737704918032787E-2</v>
      </c>
      <c r="F29" s="9">
        <f>F28/E27</f>
        <v>5.6074766355140186E-2</v>
      </c>
    </row>
  </sheetData>
  <mergeCells count="7">
    <mergeCell ref="H10:I10"/>
    <mergeCell ref="J10:K10"/>
    <mergeCell ref="B1:D1"/>
    <mergeCell ref="E1:G1"/>
    <mergeCell ref="B10:C10"/>
    <mergeCell ref="D10:E10"/>
    <mergeCell ref="F10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3号</vt:lpstr>
      <vt:lpstr>Sheet1</vt:lpstr>
      <vt:lpstr>表格</vt:lpstr>
      <vt:lpstr>波形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MR Wu</cp:lastModifiedBy>
  <dcterms:created xsi:type="dcterms:W3CDTF">2015-06-05T18:19:34Z</dcterms:created>
  <dcterms:modified xsi:type="dcterms:W3CDTF">2025-07-04T02:18:01Z</dcterms:modified>
</cp:coreProperties>
</file>